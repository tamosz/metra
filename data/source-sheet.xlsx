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ge calculator" sheetId="1" r:id="rId4"/>
    <sheet state="visible" name="gear templates" sheetId="2" r:id="rId5"/>
    <sheet state="visible" name="meso explosion" sheetId="3" r:id="rId6"/>
    <sheet state="visible" name="dmg" sheetId="4" r:id="rId7"/>
    <sheet state="visible" name="summons" sheetId="5" r:id="rId8"/>
    <sheet state="visible" name="maple warrior" sheetId="6" r:id="rId9"/>
    <sheet state="visible" name="Weapons" sheetId="7" r:id="rId10"/>
    <sheet state="visible" name="Attack Speed" sheetId="8" r:id="rId11"/>
    <sheet state="visible" name="templates (old)" sheetId="9" r:id="rId12"/>
  </sheets>
  <definedNames>
    <definedName name="MageCalc">#REF!</definedName>
    <definedName name="DrkCalc">#REF!</definedName>
    <definedName name="HeroCalc">#REF!</definedName>
    <definedName name="BmCalc">#REF!</definedName>
    <definedName name="NlCalc">#REF!</definedName>
  </definedNames>
  <calcPr/>
</workbook>
</file>

<file path=xl/sharedStrings.xml><?xml version="1.0" encoding="utf-8"?>
<sst xmlns="http://schemas.openxmlformats.org/spreadsheetml/2006/main" count="517" uniqueCount="247">
  <si>
    <t>Original by Geyforlife: https://mapleroyals.com/forum/threads/damage-calculator-all-classes.123479/</t>
  </si>
  <si>
    <t>Edited by Tim and Shiyui for damage formula corrections and other fixes.</t>
  </si>
  <si>
    <t>Stat calculator:</t>
  </si>
  <si>
    <t>Str:</t>
  </si>
  <si>
    <t>Dex:</t>
  </si>
  <si>
    <t>Int:</t>
  </si>
  <si>
    <t>Luk:</t>
  </si>
  <si>
    <t>Watk/Matt:</t>
  </si>
  <si>
    <t>For mages</t>
  </si>
  <si>
    <t>Weapon amp:</t>
  </si>
  <si>
    <t>Job:</t>
  </si>
  <si>
    <t>DrK</t>
  </si>
  <si>
    <t>Weapon:</t>
  </si>
  <si>
    <t>Spell amp:</t>
  </si>
  <si>
    <t>&lt;- hit del to clear</t>
  </si>
  <si>
    <t>Shield:</t>
  </si>
  <si>
    <t>Skill Mastery:</t>
  </si>
  <si>
    <t>Armours:</t>
  </si>
  <si>
    <t>TMA:</t>
  </si>
  <si>
    <t>Attack Potion:</t>
  </si>
  <si>
    <t>Apple</t>
  </si>
  <si>
    <t>Helmet:</t>
  </si>
  <si>
    <t>Projectile:</t>
  </si>
  <si>
    <t>None</t>
  </si>
  <si>
    <t>Top/Overall:</t>
  </si>
  <si>
    <t>Echo:</t>
  </si>
  <si>
    <t>Yes</t>
  </si>
  <si>
    <t>Bottom:</t>
  </si>
  <si>
    <t>Weap Speed:</t>
  </si>
  <si>
    <t>Cape:</t>
  </si>
  <si>
    <t>Shoe:</t>
  </si>
  <si>
    <t>Sharp Eye:</t>
  </si>
  <si>
    <t>Glove:</t>
  </si>
  <si>
    <t>Speed Infusion:</t>
  </si>
  <si>
    <t>MW level:</t>
  </si>
  <si>
    <t>Accessories:</t>
  </si>
  <si>
    <t>Type Effective?</t>
  </si>
  <si>
    <t>No</t>
  </si>
  <si>
    <t>Earring:</t>
  </si>
  <si>
    <t>Eye accessory:</t>
  </si>
  <si>
    <t>Range:</t>
  </si>
  <si>
    <t>Face accessory:</t>
  </si>
  <si>
    <t>Pendant:</t>
  </si>
  <si>
    <t>avg range</t>
  </si>
  <si>
    <t>Belt:</t>
  </si>
  <si>
    <t>Medal:</t>
  </si>
  <si>
    <t>No. of targets/other multiplier</t>
  </si>
  <si>
    <t>Ring (1):</t>
  </si>
  <si>
    <t>Skill 1:</t>
  </si>
  <si>
    <t>Spear Crusher</t>
  </si>
  <si>
    <t>Ring (2):</t>
  </si>
  <si>
    <t>Skill 2:</t>
  </si>
  <si>
    <t>None/Idle</t>
  </si>
  <si>
    <t>Ring (3):</t>
  </si>
  <si>
    <t>Skill 3:</t>
  </si>
  <si>
    <t>Ring (4):</t>
  </si>
  <si>
    <t>Summon:</t>
  </si>
  <si>
    <t>Base stats (pre MW):</t>
  </si>
  <si>
    <t>Nett DPS:</t>
  </si>
  <si>
    <t>Nett DPM:</t>
  </si>
  <si>
    <t>Watk*:</t>
  </si>
  <si>
    <t>Total stats (w/mw):</t>
  </si>
  <si>
    <t>Change Skill Base Power?</t>
  </si>
  <si>
    <t>New Base Power:</t>
  </si>
  <si>
    <t>* inclusive of skills that increase attack like bow expert/crossbow expert</t>
  </si>
  <si>
    <t>Low</t>
  </si>
  <si>
    <t>High</t>
  </si>
  <si>
    <t>Hero &amp; Paladin</t>
  </si>
  <si>
    <t>Hero + Enrage</t>
  </si>
  <si>
    <t>Enrage buff added on this row</t>
  </si>
  <si>
    <t>Dark Knight</t>
  </si>
  <si>
    <t>Equipment:</t>
  </si>
  <si>
    <t>atk pot 60 watk</t>
  </si>
  <si>
    <t>atk pot 100 watk</t>
  </si>
  <si>
    <t>Weapon 127 watk 18 str</t>
  </si>
  <si>
    <t>Weapon 139 watk 21 str</t>
  </si>
  <si>
    <t>Helmet 17 str 31 dex</t>
  </si>
  <si>
    <t>Helmet 21 str 40 dex</t>
  </si>
  <si>
    <t>Top/Overall 23 str 7 dex</t>
  </si>
  <si>
    <t>Top/Overall 60 str 8 dex</t>
  </si>
  <si>
    <t>Bottom 8 str 12 dex</t>
  </si>
  <si>
    <t>Bottom -</t>
  </si>
  <si>
    <t>Cape 12 watk</t>
  </si>
  <si>
    <t>Cape 20 watk</t>
  </si>
  <si>
    <t>Shoe 10 watk</t>
  </si>
  <si>
    <t>Shoe 20 watk</t>
  </si>
  <si>
    <t>Glove 15 watk</t>
  </si>
  <si>
    <t>Glove 20 watk</t>
  </si>
  <si>
    <t>Earring 10 dex</t>
  </si>
  <si>
    <t>Earring 15 dex</t>
  </si>
  <si>
    <t>Eye Acc 2 str 2 dex</t>
  </si>
  <si>
    <t>Eye Acc 6 str 6 dex</t>
  </si>
  <si>
    <t>Face Acc 6 str</t>
  </si>
  <si>
    <t>Face Acc 10 str 5 dex</t>
  </si>
  <si>
    <t>Pendant 22 str 23 dex</t>
  </si>
  <si>
    <t>Belt -</t>
  </si>
  <si>
    <t>Medal 2 str 2 dex</t>
  </si>
  <si>
    <t>Medal 3 watk</t>
  </si>
  <si>
    <t>Ring 1 3 str 3 dex</t>
  </si>
  <si>
    <t>Ring 1 8 str 5 dex</t>
  </si>
  <si>
    <t>Ring 2 2 str 2 dex</t>
  </si>
  <si>
    <t>Ring 2 5 str 5 dex</t>
  </si>
  <si>
    <t>Ring 3 1 str 1 dex</t>
  </si>
  <si>
    <t>Ring 3 3 str 2 dex</t>
  </si>
  <si>
    <t>Ring 4 3 str 3 dex 1 watk</t>
  </si>
  <si>
    <t>Base stats pre Maple Warrior 718 str 4 dex</t>
  </si>
  <si>
    <t>Base stats pre Maple Warrior 999 str 23 dex</t>
  </si>
  <si>
    <t>Dropping rate (bags dropped)</t>
  </si>
  <si>
    <t>per min</t>
  </si>
  <si>
    <t>How long do you drop for:</t>
  </si>
  <si>
    <t>s</t>
  </si>
  <si>
    <t>ratio = (aMoneyAmountDbl * 0.82 + 28.0) / 5300;</t>
  </si>
  <si>
    <t>Amount of mesos (integer please)</t>
  </si>
  <si>
    <t>How long you will bomb:</t>
  </si>
  <si>
    <t>else</t>
  </si>
  <si>
    <t>Mesos used per min</t>
  </si>
  <si>
    <t>Currently it is assumed that you aren't dropping mesos as you bomb. Is that right?</t>
  </si>
  <si>
    <t>ratio = aMoneyAmountDbl / (double)(aMoneyAmount + 5250);</t>
  </si>
  <si>
    <t>ratio</t>
  </si>
  <si>
    <t>Avg Damage</t>
  </si>
  <si>
    <t>After speed bombing</t>
  </si>
  <si>
    <t>MIN: (50 * Skill-&gt;XValue) * 0.5 * (Mesos / (MesoPool + 5250))</t>
  </si>
  <si>
    <t>xvalue of ME at lv 30 is 1000</t>
  </si>
  <si>
    <t>DPS</t>
  </si>
  <si>
    <t>MAX: (50 * Skill-&gt;XValue) * (Mesos / (MesoPool + 5250))</t>
  </si>
  <si>
    <t>Speed bombing. ME takes 0.75 to animate; each bag explosion takes 0.1 to animate. Each ME destroys 20 bags but only bombs 15 bags. i.e. if you cast ME repeatedly, you can bomb a set of 7.5 bags twice on average. Which means the effective damage of each bag is doubled</t>
  </si>
  <si>
    <t>Dmg cap:</t>
  </si>
  <si>
    <t>Class</t>
  </si>
  <si>
    <t>Skill(s)</t>
  </si>
  <si>
    <t>Time (s)</t>
  </si>
  <si>
    <t>Base Power</t>
  </si>
  <si>
    <t>Single line dmg w/o crit (%)</t>
  </si>
  <si>
    <t>Single line dmg w/ crit (%)</t>
  </si>
  <si>
    <t>Single line dmg w/ SE (%)</t>
  </si>
  <si>
    <t xml:space="preserve">Range(cap) w/o crit </t>
  </si>
  <si>
    <t>Range(cap) w/ crit</t>
  </si>
  <si>
    <t xml:space="preserve">Range(cap) w/ SE </t>
  </si>
  <si>
    <t>Adjusted range w/o crit</t>
  </si>
  <si>
    <t>Adjusted range w/ crit</t>
  </si>
  <si>
    <t>Adjusted range w/ SE</t>
  </si>
  <si>
    <t>Average Damage</t>
  </si>
  <si>
    <t xml:space="preserve">DPS </t>
  </si>
  <si>
    <t>Dynamic list</t>
  </si>
  <si>
    <t>Sair</t>
  </si>
  <si>
    <t>Battleship Cannon</t>
  </si>
  <si>
    <t>--</t>
  </si>
  <si>
    <t>Rapid Fire</t>
  </si>
  <si>
    <t>Octopus</t>
  </si>
  <si>
    <t>NL</t>
  </si>
  <si>
    <t>Triple Throw 30</t>
  </si>
  <si>
    <t>Triple Throw 20</t>
  </si>
  <si>
    <t>BM</t>
  </si>
  <si>
    <t>Hurricane</t>
  </si>
  <si>
    <t>Hero</t>
  </si>
  <si>
    <t>Brandish (Sword)</t>
  </si>
  <si>
    <t>Brandish (Axe, Slash)</t>
  </si>
  <si>
    <t>Brandish (Axe, Stab)</t>
  </si>
  <si>
    <t>Brandish (Axe)</t>
  </si>
  <si>
    <t>MM</t>
  </si>
  <si>
    <t>Strafe (MM)</t>
  </si>
  <si>
    <t>Snipe</t>
  </si>
  <si>
    <t>Bucc</t>
  </si>
  <si>
    <t>Demolition</t>
  </si>
  <si>
    <t>Barrage (normal)</t>
  </si>
  <si>
    <t>Barrage (5th)</t>
  </si>
  <si>
    <t>Barrage (6th)</t>
  </si>
  <si>
    <t>Dragon Strike</t>
  </si>
  <si>
    <t>Barrage + Dragon Strike</t>
  </si>
  <si>
    <t>Pally</t>
  </si>
  <si>
    <t>Blast (holy charge) (sword)</t>
  </si>
  <si>
    <t>Blast (f/i/l charge) (sword)</t>
  </si>
  <si>
    <t>Blast (holy charge) (BW, Slash)</t>
  </si>
  <si>
    <t>Blast (holy charge) (BW, Stab)</t>
  </si>
  <si>
    <t>Blast (holy charge) (BW)</t>
  </si>
  <si>
    <t>Blast (f/i/l charge) (BW, Slash)</t>
  </si>
  <si>
    <t>Blast (f/i/l charge) (BW, Stab)</t>
  </si>
  <si>
    <t>Blast (f/i/l charge) (BW)</t>
  </si>
  <si>
    <t>Archmage</t>
  </si>
  <si>
    <t>Paralyze</t>
  </si>
  <si>
    <t>Chain Lightning (single target)</t>
  </si>
  <si>
    <t>CL (chg mult to 1, 1.7, 2.19, 2.53, 2.77, 2.94 depending on no.of targets)</t>
  </si>
  <si>
    <t>Meteor</t>
  </si>
  <si>
    <t>Blizzard</t>
  </si>
  <si>
    <t>Bishop</t>
  </si>
  <si>
    <t>Genesis</t>
  </si>
  <si>
    <t>Angel Ray</t>
  </si>
  <si>
    <t>Shad</t>
  </si>
  <si>
    <t>Boomerang Step</t>
  </si>
  <si>
    <t>Assassinate 30</t>
  </si>
  <si>
    <t>Assassinate 20</t>
  </si>
  <si>
    <t>Savage Blow</t>
  </si>
  <si>
    <t>Meso Explosion (pls edit ME sheet)</t>
  </si>
  <si>
    <t>Bstep + Assassinate 30</t>
  </si>
  <si>
    <t>Savage Blow + Assassinate 30</t>
  </si>
  <si>
    <t>Bstep + Assassinate 20</t>
  </si>
  <si>
    <t>Job</t>
  </si>
  <si>
    <t>Skill name</t>
  </si>
  <si>
    <t>Time before attack /s</t>
  </si>
  <si>
    <t>Avg damage</t>
  </si>
  <si>
    <t>dps</t>
  </si>
  <si>
    <t>notes</t>
  </si>
  <si>
    <t>Phoenix</t>
  </si>
  <si>
    <t>Phoenix/Frostprey/Octopus/Gaviota (credit to Sybaris/KaidaTan):</t>
  </si>
  <si>
    <t>Frostprey</t>
  </si>
  <si>
    <t>MAX = (DEX * 2.5 + STR) * Attack Rate / 100</t>
  </si>
  <si>
    <t>AM</t>
  </si>
  <si>
    <t>Ifrit</t>
  </si>
  <si>
    <t>MIN = (DEX * 2.5 * 0.7 + STR) * Attack Rate / 100</t>
  </si>
  <si>
    <t>Elquines</t>
  </si>
  <si>
    <t>Ignores defense</t>
  </si>
  <si>
    <t>Bahamut</t>
  </si>
  <si>
    <t>AVG= (4.25DEX + 2STR ) * Attack Rate / 200</t>
  </si>
  <si>
    <t>Lv</t>
  </si>
  <si>
    <t>Multiplier</t>
  </si>
  <si>
    <t>1H Sword</t>
  </si>
  <si>
    <t>2H Sword</t>
  </si>
  <si>
    <t>1H Axe</t>
  </si>
  <si>
    <t>1H BW</t>
  </si>
  <si>
    <t>2H Axe</t>
  </si>
  <si>
    <t>2H BW</t>
  </si>
  <si>
    <t>Slash Multipliers</t>
  </si>
  <si>
    <t>Stab</t>
  </si>
  <si>
    <t>One Handed Axe/BW/Wand/Staff (Swinging)</t>
  </si>
  <si>
    <t>Primary: STR * 4.4</t>
  </si>
  <si>
    <t>Secondary: DEX</t>
  </si>
  <si>
    <t>One Handed Axe/BW/Wand/Staff (Stabbing)</t>
  </si>
  <si>
    <t>Primary: STR * 3.2</t>
  </si>
  <si>
    <t>Two Handed Sword</t>
  </si>
  <si>
    <t>Primary: STR * 4.6</t>
  </si>
  <si>
    <t>Two Handed Axe/BW (Swinging)</t>
  </si>
  <si>
    <t>Primary: STR * 4.8</t>
  </si>
  <si>
    <t>Two Handed Axe/BW (Stabbing)</t>
  </si>
  <si>
    <t>Primary: STR * 3.4</t>
  </si>
  <si>
    <t>Strafe/Snipe</t>
  </si>
  <si>
    <t>Crusher</t>
  </si>
  <si>
    <t>Brandish</t>
  </si>
  <si>
    <t>Blast</t>
  </si>
  <si>
    <t xml:space="preserve">Mid tier
</t>
  </si>
  <si>
    <t>Mid-high tier</t>
  </si>
  <si>
    <t>High tier</t>
  </si>
  <si>
    <t>Hero/Pally</t>
  </si>
  <si>
    <t>Drk</t>
  </si>
  <si>
    <t>FP/BS</t>
  </si>
  <si>
    <t>.</t>
  </si>
  <si>
    <t>IL</t>
  </si>
  <si>
    <t>Hero/Pally (ST)</t>
  </si>
  <si>
    <t>MM (crow)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</si>
</sst>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</font>
    <font>
      <b/>
      <color rgb="FFFF0000"/>
      <name val="Arial"/>
    </font>
    <font>
      <b/>
      <name val="Arial"/>
    </font>
    <font>
      <b/>
      <sz val="11.0"/>
    </font>
    <font/>
    <font>
      <b/>
      <sz val="11.0"/>
      <name val="Arial"/>
    </font>
    <font>
      <name val="Arial"/>
    </font>
    <font>
      <color rgb="FF999999"/>
    </font>
    <font>
      <b/>
    </font>
    <font>
      <sz val="8.0"/>
    </font>
    <font>
      <sz val="11.0"/>
      <color rgb="FF3F5CA9"/>
    </font>
    <font>
      <color rgb="FFB7B7B7"/>
    </font>
    <font>
      <sz val="11.0"/>
      <color rgb="FF7E3794"/>
    </font>
    <font>
      <color rgb="FFCCCCCC"/>
    </font>
    <font>
      <b/>
      <sz val="9.0"/>
    </font>
    <font>
      <color rgb="FFFFFFFF"/>
    </font>
    <font>
      <b/>
      <color rgb="FF999999"/>
    </font>
    <font>
      <b/>
      <i/>
      <color rgb="FF000000"/>
      <name val="'Trebuchet MS'"/>
    </font>
    <font>
      <color rgb="FF000000"/>
    </font>
    <font>
      <sz val="11.0"/>
      <color rgb="FF000000"/>
    </font>
    <font>
      <i/>
      <color rgb="FF000000"/>
      <name val="'Trebuchet MS'"/>
    </font>
    <font>
      <color rgb="FF999999"/>
      <name val="Arial"/>
    </font>
    <font>
      <sz val="11.0"/>
      <name val="Calibri"/>
    </font>
    <font>
      <sz val="11.0"/>
      <color rgb="FF11A9CC"/>
    </font>
    <font>
      <sz val="10.0"/>
    </font>
    <font>
      <sz val="10.0"/>
      <color rgb="FF000000"/>
    </font>
    <font>
      <sz val="10.0"/>
      <color rgb="FF11A9CC"/>
    </font>
    <font>
      <sz val="11.0"/>
      <color rgb="FFF7981D"/>
    </font>
  </fonts>
  <fills count="12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B7E1CD"/>
        <bgColor rgb="FFB7E1CD"/>
      </patternFill>
    </fill>
    <fill>
      <patternFill patternType="solid">
        <fgColor rgb="FFEFEFEF"/>
        <bgColor rgb="FFEFEFEF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5B9BD5"/>
        <bgColor rgb="FF5B9BD5"/>
      </patternFill>
    </fill>
    <fill>
      <patternFill patternType="solid">
        <fgColor rgb="FFDEEAF6"/>
        <bgColor rgb="FFDEEAF6"/>
      </patternFill>
    </fill>
    <fill>
      <patternFill patternType="solid">
        <fgColor rgb="FFF4CCCC"/>
        <bgColor rgb="FFF4CCCC"/>
      </patternFill>
    </fill>
  </fills>
  <borders count="24">
    <border/>
    <border>
      <right/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2" fillId="2" fontId="3" numFmtId="0" xfId="0" applyAlignment="1" applyBorder="1" applyFill="1" applyFont="1">
      <alignment readingOrder="0"/>
    </xf>
    <xf borderId="3" fillId="0" fontId="4" numFmtId="0" xfId="0" applyBorder="1" applyFont="1"/>
    <xf borderId="4" fillId="0" fontId="4" numFmtId="0" xfId="0" applyBorder="1" applyFont="1"/>
    <xf borderId="5" fillId="2" fontId="3" numFmtId="0" xfId="0" applyAlignment="1" applyBorder="1" applyFont="1">
      <alignment readingOrder="0"/>
    </xf>
    <xf borderId="6" fillId="2" fontId="5" numFmtId="0" xfId="0" applyAlignment="1" applyBorder="1" applyFont="1">
      <alignment readingOrder="0" vertical="bottom"/>
    </xf>
    <xf borderId="6" fillId="2" fontId="3" numFmtId="0" xfId="0" applyAlignment="1" applyBorder="1" applyFont="1">
      <alignment readingOrder="0"/>
    </xf>
    <xf borderId="7" fillId="2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8" fillId="0" fontId="4" numFmtId="0" xfId="0" applyBorder="1" applyFont="1"/>
    <xf borderId="9" fillId="0" fontId="4" numFmtId="0" xfId="0" applyBorder="1" applyFont="1"/>
    <xf borderId="5" fillId="0" fontId="4" numFmtId="0" xfId="0" applyAlignment="1" applyBorder="1" applyFont="1">
      <alignment readingOrder="0"/>
    </xf>
    <xf borderId="10" fillId="0" fontId="6" numFmtId="0" xfId="0" applyAlignment="1" applyBorder="1" applyFont="1">
      <alignment vertical="bottom"/>
    </xf>
    <xf borderId="11" fillId="0" fontId="4" numFmtId="0" xfId="0" applyBorder="1" applyFont="1"/>
    <xf borderId="11" fillId="0" fontId="4" numFmtId="0" xfId="0" applyAlignment="1" applyBorder="1" applyFont="1">
      <alignment readingOrder="0"/>
    </xf>
    <xf borderId="12" fillId="0" fontId="4" numFmtId="0" xfId="0" applyBorder="1" applyFont="1"/>
    <xf borderId="0" fillId="0" fontId="7" numFmtId="0" xfId="0" applyAlignment="1" applyFont="1">
      <alignment readingOrder="0"/>
    </xf>
    <xf borderId="8" fillId="0" fontId="8" numFmtId="0" xfId="0" applyAlignment="1" applyBorder="1" applyFont="1">
      <alignment readingOrder="0"/>
    </xf>
    <xf borderId="9" fillId="3" fontId="4" numFmtId="0" xfId="0" applyAlignment="1" applyBorder="1" applyFill="1" applyFont="1">
      <alignment readingOrder="0"/>
    </xf>
    <xf borderId="13" fillId="2" fontId="6" numFmtId="0" xfId="0" applyAlignment="1" applyBorder="1" applyFont="1">
      <alignment horizontal="right" readingOrder="0" vertical="bottom"/>
    </xf>
    <xf borderId="13" fillId="2" fontId="6" numFmtId="0" xfId="0" applyAlignment="1" applyBorder="1" applyFont="1">
      <alignment vertical="bottom"/>
    </xf>
    <xf borderId="14" fillId="2" fontId="6" numFmtId="0" xfId="0" applyAlignment="1" applyBorder="1" applyFont="1">
      <alignment horizontal="right" readingOrder="0" vertical="bottom"/>
    </xf>
    <xf borderId="8" fillId="0" fontId="8" numFmtId="0" xfId="0" applyBorder="1" applyFont="1"/>
    <xf borderId="9" fillId="0" fontId="4" numFmtId="0" xfId="0" applyAlignment="1" applyBorder="1" applyFont="1">
      <alignment readingOrder="0"/>
    </xf>
    <xf borderId="0" fillId="0" fontId="9" numFmtId="0" xfId="0" applyAlignment="1" applyFont="1">
      <alignment readingOrder="0" shrinkToFit="0" wrapText="1"/>
    </xf>
    <xf borderId="13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14" fillId="0" fontId="6" numFmtId="0" xfId="0" applyAlignment="1" applyBorder="1" applyFont="1">
      <alignment vertical="bottom"/>
    </xf>
    <xf borderId="0" fillId="0" fontId="10" numFmtId="0" xfId="0" applyFont="1"/>
    <xf borderId="8" fillId="0" fontId="11" numFmtId="0" xfId="0" applyAlignment="1" applyBorder="1" applyFont="1">
      <alignment readingOrder="0"/>
    </xf>
    <xf borderId="9" fillId="0" fontId="11" numFmtId="0" xfId="0" applyAlignment="1" applyBorder="1" applyFont="1">
      <alignment readingOrder="0"/>
    </xf>
    <xf borderId="13" fillId="2" fontId="6" numFmtId="0" xfId="0" applyAlignment="1" applyBorder="1" applyFont="1">
      <alignment vertical="bottom"/>
    </xf>
    <xf borderId="14" fillId="2" fontId="6" numFmtId="0" xfId="0" applyAlignment="1" applyBorder="1" applyFont="1">
      <alignment vertical="bottom"/>
    </xf>
    <xf borderId="0" fillId="0" fontId="11" numFmtId="0" xfId="0" applyAlignment="1" applyFont="1">
      <alignment readingOrder="0"/>
    </xf>
    <xf borderId="13" fillId="0" fontId="6" numFmtId="0" xfId="0" applyAlignment="1" applyBorder="1" applyFont="1">
      <alignment horizontal="right" readingOrder="0" vertical="bottom"/>
    </xf>
    <xf borderId="13" fillId="0" fontId="6" numFmtId="0" xfId="0" applyAlignment="1" applyBorder="1" applyFont="1">
      <alignment horizontal="right" vertical="bottom"/>
    </xf>
    <xf borderId="5" fillId="4" fontId="4" numFmtId="0" xfId="0" applyAlignment="1" applyBorder="1" applyFill="1" applyFont="1">
      <alignment readingOrder="0"/>
    </xf>
    <xf borderId="13" fillId="4" fontId="6" numFmtId="0" xfId="0" applyAlignment="1" applyBorder="1" applyFont="1">
      <alignment horizontal="right" readingOrder="0" vertical="bottom"/>
    </xf>
    <xf borderId="13" fillId="4" fontId="6" numFmtId="0" xfId="0" applyAlignment="1" applyBorder="1" applyFont="1">
      <alignment vertical="bottom"/>
    </xf>
    <xf borderId="14" fillId="4" fontId="6" numFmtId="0" xfId="0" applyAlignment="1" applyBorder="1" applyFont="1">
      <alignment vertical="bottom"/>
    </xf>
    <xf borderId="0" fillId="0" fontId="11" numFmtId="0" xfId="0" applyFont="1"/>
    <xf borderId="13" fillId="0" fontId="6" numFmtId="0" xfId="0" applyAlignment="1" applyBorder="1" applyFont="1">
      <alignment readingOrder="0" vertical="bottom"/>
    </xf>
    <xf borderId="14" fillId="0" fontId="6" numFmtId="0" xfId="0" applyAlignment="1" applyBorder="1" applyFont="1">
      <alignment vertical="bottom"/>
    </xf>
    <xf borderId="0" fillId="0" fontId="12" numFmtId="0" xfId="0" applyAlignment="1" applyFont="1">
      <alignment readingOrder="0"/>
    </xf>
    <xf borderId="9" fillId="3" fontId="4" numFmtId="0" xfId="0" applyAlignment="1" applyBorder="1" applyFont="1">
      <alignment horizontal="left" readingOrder="0"/>
    </xf>
    <xf borderId="13" fillId="4" fontId="6" numFmtId="0" xfId="0" applyAlignment="1" applyBorder="1" applyFont="1">
      <alignment vertical="bottom"/>
    </xf>
    <xf borderId="14" fillId="4" fontId="6" numFmtId="0" xfId="0" applyAlignment="1" applyBorder="1" applyFont="1">
      <alignment horizontal="right" readingOrder="0" vertical="bottom"/>
    </xf>
    <xf borderId="14" fillId="0" fontId="6" numFmtId="0" xfId="0" applyAlignment="1" applyBorder="1" applyFont="1">
      <alignment horizontal="right" readingOrder="0" vertical="bottom"/>
    </xf>
    <xf borderId="0" fillId="0" fontId="8" numFmtId="0" xfId="0" applyAlignment="1" applyFont="1">
      <alignment readingOrder="0"/>
    </xf>
    <xf borderId="13" fillId="4" fontId="6" numFmtId="0" xfId="0" applyAlignment="1" applyBorder="1" applyFont="1">
      <alignment readingOrder="0" vertical="bottom"/>
    </xf>
    <xf borderId="9" fillId="0" fontId="4" numFmtId="0" xfId="0" applyBorder="1" applyFont="1"/>
    <xf borderId="0" fillId="0" fontId="13" numFmtId="0" xfId="0" applyFont="1"/>
    <xf borderId="13" fillId="4" fontId="6" numFmtId="0" xfId="0" applyAlignment="1" applyBorder="1" applyFont="1">
      <alignment horizontal="right" vertical="bottom"/>
    </xf>
    <xf borderId="14" fillId="4" fontId="6" numFmtId="0" xfId="0" applyAlignment="1" applyBorder="1" applyFont="1">
      <alignment vertical="bottom"/>
    </xf>
    <xf borderId="8" fillId="0" fontId="7" numFmtId="0" xfId="0" applyAlignment="1" applyBorder="1" applyFont="1">
      <alignment readingOrder="0"/>
    </xf>
    <xf borderId="9" fillId="0" fontId="11" numFmtId="0" xfId="0" applyBorder="1" applyFont="1"/>
    <xf borderId="14" fillId="4" fontId="6" numFmtId="0" xfId="0" applyAlignment="1" applyBorder="1" applyFont="1">
      <alignment readingOrder="0" vertical="bottom"/>
    </xf>
    <xf borderId="15" fillId="0" fontId="4" numFmtId="0" xfId="0" applyBorder="1" applyFont="1"/>
    <xf borderId="4" fillId="0" fontId="14" numFmtId="0" xfId="0" applyAlignment="1" applyBorder="1" applyFont="1">
      <alignment readingOrder="0"/>
    </xf>
    <xf borderId="0" fillId="3" fontId="4" numFmtId="0" xfId="0" applyAlignment="1" applyFont="1">
      <alignment readingOrder="0"/>
    </xf>
    <xf borderId="0" fillId="0" fontId="11" numFmtId="10" xfId="0" applyFont="1" applyNumberFormat="1"/>
    <xf borderId="14" fillId="0" fontId="6" numFmtId="0" xfId="0" applyAlignment="1" applyBorder="1" applyFont="1">
      <alignment horizontal="right" vertical="bottom"/>
    </xf>
    <xf borderId="16" fillId="0" fontId="8" numFmtId="0" xfId="0" applyAlignment="1" applyBorder="1" applyFont="1">
      <alignment readingOrder="0"/>
    </xf>
    <xf borderId="17" fillId="3" fontId="4" numFmtId="0" xfId="0" applyAlignment="1" applyBorder="1" applyFont="1">
      <alignment readingOrder="0"/>
    </xf>
    <xf borderId="18" fillId="3" fontId="4" numFmtId="0" xfId="0" applyAlignment="1" applyBorder="1" applyFont="1">
      <alignment readingOrder="0"/>
    </xf>
    <xf borderId="5" fillId="0" fontId="4" numFmtId="0" xfId="0" applyBorder="1" applyFont="1"/>
    <xf borderId="5" fillId="2" fontId="8" numFmtId="0" xfId="0" applyAlignment="1" applyBorder="1" applyFont="1">
      <alignment readingOrder="0"/>
    </xf>
    <xf borderId="13" fillId="2" fontId="6" numFmtId="0" xfId="0" applyAlignment="1" applyBorder="1" applyFont="1">
      <alignment horizontal="right" vertical="bottom"/>
    </xf>
    <xf borderId="10" fillId="0" fontId="6" numFmtId="0" xfId="0" applyAlignment="1" applyBorder="1" applyFont="1">
      <alignment horizontal="right" vertical="bottom"/>
    </xf>
    <xf borderId="12" fillId="0" fontId="4" numFmtId="0" xfId="0" applyAlignment="1" applyBorder="1" applyFont="1">
      <alignment readingOrder="0"/>
    </xf>
    <xf borderId="9" fillId="0" fontId="4" numFmtId="3" xfId="0" applyBorder="1" applyFont="1" applyNumberFormat="1"/>
    <xf borderId="9" fillId="0" fontId="4" numFmtId="0" xfId="0" applyAlignment="1" applyBorder="1" applyFont="1">
      <alignment horizontal="right"/>
    </xf>
    <xf borderId="11" fillId="0" fontId="8" numFmtId="0" xfId="0" applyAlignment="1" applyBorder="1" applyFont="1">
      <alignment readingOrder="0"/>
    </xf>
    <xf borderId="12" fillId="0" fontId="8" numFmtId="0" xfId="0" applyAlignment="1" applyBorder="1" applyFont="1">
      <alignment readingOrder="0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5" fontId="3" numFmtId="0" xfId="0" applyAlignment="1" applyBorder="1" applyFill="1" applyFont="1">
      <alignment readingOrder="0"/>
    </xf>
    <xf borderId="20" fillId="5" fontId="6" numFmtId="0" xfId="0" applyAlignment="1" applyBorder="1" applyFont="1">
      <alignment horizontal="right" vertical="bottom"/>
    </xf>
    <xf borderId="21" fillId="5" fontId="4" numFmtId="0" xfId="0" applyBorder="1" applyFont="1"/>
    <xf borderId="0" fillId="0" fontId="4" numFmtId="0" xfId="0" applyAlignment="1" applyFont="1">
      <alignment readingOrder="0" shrinkToFit="0" wrapText="1"/>
    </xf>
    <xf borderId="0" fillId="6" fontId="4" numFmtId="0" xfId="0" applyAlignment="1" applyFill="1" applyFont="1">
      <alignment readingOrder="0"/>
    </xf>
    <xf borderId="0" fillId="0" fontId="15" numFmtId="0" xfId="0" applyAlignment="1" applyFont="1">
      <alignment readingOrder="0"/>
    </xf>
    <xf borderId="0" fillId="0" fontId="7" numFmtId="0" xfId="0" applyFont="1"/>
    <xf borderId="0" fillId="0" fontId="4" numFmtId="3" xfId="0" applyFont="1" applyNumberFormat="1"/>
    <xf borderId="0" fillId="0" fontId="4" numFmtId="3" xfId="0" applyFont="1" applyNumberFormat="1"/>
    <xf borderId="0" fillId="0" fontId="7" numFmtId="0" xfId="0" applyAlignment="1" applyFont="1">
      <alignment readingOrder="0" shrinkToFit="0" wrapText="1"/>
    </xf>
    <xf borderId="0" fillId="0" fontId="16" numFmtId="0" xfId="0" applyFont="1"/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Font="1"/>
    <xf borderId="0" fillId="0" fontId="19" numFmtId="0" xfId="0" applyFont="1"/>
    <xf borderId="0" fillId="0" fontId="20" numFmtId="0" xfId="0" applyFont="1"/>
    <xf borderId="0" fillId="0" fontId="18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vertical="bottom"/>
    </xf>
    <xf borderId="0" fillId="0" fontId="21" numFmtId="0" xfId="0" applyAlignment="1" applyFont="1">
      <alignment horizontal="right" vertical="bottom"/>
    </xf>
    <xf borderId="0" fillId="7" fontId="4" numFmtId="0" xfId="0" applyFill="1" applyFont="1"/>
    <xf borderId="0" fillId="8" fontId="4" numFmtId="0" xfId="0" applyFill="1" applyFont="1"/>
    <xf borderId="0" fillId="0" fontId="4" numFmtId="0" xfId="0" applyFont="1"/>
    <xf borderId="0" fillId="9" fontId="22" numFmtId="0" xfId="0" applyAlignment="1" applyFill="1" applyFont="1">
      <alignment vertical="bottom"/>
    </xf>
    <xf borderId="0" fillId="7" fontId="22" numFmtId="0" xfId="0" applyAlignment="1" applyFont="1">
      <alignment vertical="bottom"/>
    </xf>
    <xf borderId="0" fillId="8" fontId="22" numFmtId="0" xfId="0" applyAlignment="1" applyFont="1">
      <alignment readingOrder="0" vertical="bottom"/>
    </xf>
    <xf borderId="0" fillId="9" fontId="22" numFmtId="0" xfId="0" applyAlignment="1" applyFont="1">
      <alignment readingOrder="0" vertical="bottom"/>
    </xf>
    <xf borderId="0" fillId="10" fontId="22" numFmtId="0" xfId="0" applyAlignment="1" applyFill="1" applyFont="1">
      <alignment vertical="bottom"/>
    </xf>
    <xf borderId="0" fillId="10" fontId="22" numFmtId="0" xfId="0" applyAlignment="1" applyFont="1">
      <alignment readingOrder="0" vertical="bottom"/>
    </xf>
    <xf borderId="0" fillId="7" fontId="22" numFmtId="0" xfId="0" applyAlignment="1" applyFont="1">
      <alignment horizontal="right" vertical="bottom"/>
    </xf>
    <xf borderId="0" fillId="8" fontId="22" numFmtId="0" xfId="0" applyAlignment="1" applyFont="1">
      <alignment horizontal="right" vertical="bottom"/>
    </xf>
    <xf borderId="0" fillId="10" fontId="22" numFmtId="0" xfId="0" applyAlignment="1" applyFont="1">
      <alignment horizontal="right" vertical="bottom"/>
    </xf>
    <xf borderId="0" fillId="10" fontId="22" numFmtId="3" xfId="0" applyAlignment="1" applyFont="1" applyNumberFormat="1">
      <alignment horizontal="right" vertical="bottom"/>
    </xf>
    <xf borderId="0" fillId="10" fontId="22" numFmtId="3" xfId="0" applyAlignment="1" applyFont="1" applyNumberFormat="1">
      <alignment horizontal="right" readingOrder="0" vertical="bottom"/>
    </xf>
    <xf borderId="0" fillId="0" fontId="7" numFmtId="0" xfId="0" applyFont="1"/>
    <xf borderId="0" fillId="0" fontId="7" numFmtId="0" xfId="0" applyAlignment="1" applyFont="1">
      <alignment readingOrder="0"/>
    </xf>
    <xf borderId="0" fillId="8" fontId="22" numFmtId="0" xfId="0" applyAlignment="1" applyFont="1">
      <alignment horizontal="right" readingOrder="0" vertical="bottom"/>
    </xf>
    <xf borderId="0" fillId="10" fontId="22" numFmtId="0" xfId="0" applyAlignment="1" applyFont="1">
      <alignment horizontal="right" readingOrder="0" vertical="bottom"/>
    </xf>
    <xf borderId="0" fillId="7" fontId="22" numFmtId="0" xfId="0" applyAlignment="1" applyFont="1">
      <alignment horizontal="right" readingOrder="0" vertical="bottom"/>
    </xf>
    <xf borderId="0" fillId="10" fontId="22" numFmtId="0" xfId="0" applyAlignment="1" applyFont="1">
      <alignment vertical="bottom"/>
    </xf>
    <xf borderId="0" fillId="7" fontId="22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vertical="bottom"/>
    </xf>
    <xf borderId="0" fillId="10" fontId="22" numFmtId="0" xfId="0" applyAlignment="1" applyFont="1">
      <alignment readingOrder="0" vertical="bottom"/>
    </xf>
    <xf borderId="0" fillId="10" fontId="22" numFmtId="0" xfId="0" applyAlignment="1" applyFont="1">
      <alignment horizontal="right" vertical="bottom"/>
    </xf>
    <xf borderId="0" fillId="0" fontId="23" numFmtId="0" xfId="0" applyAlignment="1" applyFont="1">
      <alignment readingOrder="0"/>
    </xf>
    <xf borderId="0" fillId="10" fontId="22" numFmtId="0" xfId="0" applyAlignment="1" applyFont="1">
      <alignment horizontal="right" readingOrder="0" vertical="bottom"/>
    </xf>
    <xf borderId="0" fillId="10" fontId="22" numFmtId="0" xfId="0" applyAlignment="1" applyFont="1">
      <alignment horizontal="right" vertical="bottom"/>
    </xf>
    <xf borderId="0" fillId="10" fontId="22" numFmtId="0" xfId="0" applyAlignment="1" applyFont="1">
      <alignment horizontal="right" vertical="bottom"/>
    </xf>
    <xf borderId="0" fillId="11" fontId="22" numFmtId="0" xfId="0" applyAlignment="1" applyFill="1" applyFont="1">
      <alignment readingOrder="0" vertical="bottom"/>
    </xf>
    <xf borderId="0" fillId="0" fontId="23" numFmtId="3" xfId="0" applyAlignment="1" applyFont="1" applyNumberFormat="1">
      <alignment readingOrder="0"/>
    </xf>
    <xf borderId="0" fillId="10" fontId="6" numFmtId="0" xfId="0" applyAlignment="1" applyFont="1">
      <alignment vertical="bottom"/>
    </xf>
    <xf borderId="1" fillId="10" fontId="22" numFmtId="3" xfId="0" applyAlignment="1" applyBorder="1" applyFont="1" applyNumberFormat="1">
      <alignment horizontal="right" vertical="bottom"/>
    </xf>
    <xf borderId="0" fillId="0" fontId="24" numFmtId="0" xfId="0" applyFont="1"/>
    <xf borderId="0" fillId="0" fontId="24" numFmtId="0" xfId="0" applyAlignment="1" applyFont="1">
      <alignment readingOrder="0"/>
    </xf>
    <xf borderId="0" fillId="0" fontId="25" numFmtId="0" xfId="0" applyFont="1"/>
    <xf borderId="0" fillId="0" fontId="26" numFmtId="0" xfId="0" applyAlignment="1" applyFont="1">
      <alignment readingOrder="0"/>
    </xf>
    <xf borderId="0" fillId="0" fontId="27" numFmtId="0" xfId="0" applyFont="1"/>
    <xf borderId="22" fillId="0" fontId="6" numFmtId="0" xfId="0" applyAlignment="1" applyBorder="1" applyFont="1">
      <alignment vertical="bottom"/>
    </xf>
    <xf borderId="23" fillId="0" fontId="6" numFmtId="0" xfId="0" applyAlignment="1" applyBorder="1" applyFont="1">
      <alignment vertical="bottom"/>
    </xf>
    <xf borderId="13" fillId="2" fontId="6" numFmtId="0" xfId="0" applyAlignment="1" applyBorder="1" applyFont="1">
      <alignment horizontal="right" vertical="bottom"/>
    </xf>
    <xf borderId="14" fillId="2" fontId="6" numFmtId="0" xfId="0" applyAlignment="1" applyBorder="1" applyFont="1">
      <alignment horizontal="right" vertical="bottom"/>
    </xf>
    <xf borderId="13" fillId="0" fontId="6" numFmtId="0" xfId="0" applyAlignment="1" applyBorder="1" applyFont="1">
      <alignment horizontal="right" vertical="bottom"/>
    </xf>
    <xf borderId="13" fillId="4" fontId="6" numFmtId="0" xfId="0" applyAlignment="1" applyBorder="1" applyFont="1">
      <alignment horizontal="right" vertical="bottom"/>
    </xf>
    <xf borderId="14" fillId="4" fontId="6" numFmtId="0" xfId="0" applyAlignment="1" applyBorder="1" applyFont="1">
      <alignment horizontal="right" vertical="bottom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9BD5"/>
          <bgColor rgb="FF5B9BD5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5">
    <tableStyle count="3" pivot="0" name="dmg-style">
      <tableStyleElement dxfId="2" type="headerRow"/>
      <tableStyleElement dxfId="3" type="firstRowStripe"/>
      <tableStyleElement dxfId="3" type="secondRowStripe"/>
    </tableStyle>
    <tableStyle count="2" pivot="0" name="dmg-style 2">
      <tableStyleElement dxfId="3" type="firstRowStripe"/>
      <tableStyleElement dxfId="3" type="secondRowStripe"/>
    </tableStyle>
    <tableStyle count="2" pivot="0" name="summons-style">
      <tableStyleElement dxfId="3" type="firstRowStripe"/>
      <tableStyleElement dxfId="3" type="secondRowStripe"/>
    </tableStyle>
    <tableStyle count="2" pivot="0" name="summons-style 2">
      <tableStyleElement dxfId="3" type="firstRowStripe"/>
      <tableStyleElement dxfId="3" type="secondRowStripe"/>
    </tableStyle>
    <tableStyle count="2" pivot="0" name="summons-style 3">
      <tableStyleElement dxfId="3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904875</xdr:colOff>
      <xdr:row>14</xdr:row>
      <xdr:rowOff>200025</xdr:rowOff>
    </xdr:from>
    <xdr:ext cx="8210550" cy="5467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O20" displayName="Table_1" name="Table_1" id="1">
  <tableColumns count="15">
    <tableColumn name="Class" id="1"/>
    <tableColumn name="Skill(s)" id="2"/>
    <tableColumn name="Time (s)" id="3"/>
    <tableColumn name="Base Power" id="4"/>
    <tableColumn name="Single line dmg w/o crit (%)" id="5"/>
    <tableColumn name="Single line dmg w/ crit (%)" id="6"/>
    <tableColumn name="Single line dmg w/ SE (%)" id="7"/>
    <tableColumn name="Range(cap) w/o crit " id="8"/>
    <tableColumn name="Range(cap) w/ crit" id="9"/>
    <tableColumn name="Range(cap) w/ SE " id="10"/>
    <tableColumn name="Adjusted range w/o crit" id="11"/>
    <tableColumn name="Adjusted range w/ crit" id="12"/>
    <tableColumn name="Adjusted range w/ SE" id="13"/>
    <tableColumn name="Average Damage" id="14"/>
    <tableColumn name="DPS " id="15"/>
  </tableColumns>
  <tableStyleInfo name="dmg-style" showColumnStripes="0" showFirstColumn="1" showLastColumn="1" showRowStripes="1"/>
</table>
</file>

<file path=xl/tables/table2.xml><?xml version="1.0" encoding="utf-8"?>
<table xmlns="http://schemas.openxmlformats.org/spreadsheetml/2006/main" headerRowCount="0" ref="A30:O35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mg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:B1" displayName="Table_3" name="Table_3" id="3">
  <tableColumns count="2">
    <tableColumn name="Column1" id="1"/>
    <tableColumn name="Column2" id="2"/>
  </tableColumns>
  <tableStyleInfo name="summons-style" showColumnStripes="0" showFirstColumn="1" showLastColumn="1" showRowStripes="1"/>
</table>
</file>

<file path=xl/tables/table4.xml><?xml version="1.0" encoding="utf-8"?>
<table xmlns="http://schemas.openxmlformats.org/spreadsheetml/2006/main" headerRowCount="0" ref="C1:F1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summons-style 2" showColumnStripes="0" showFirstColumn="1" showLastColumn="1" showRowStripes="1"/>
</table>
</file>

<file path=xl/tables/table5.xml><?xml version="1.0" encoding="utf-8"?>
<table xmlns="http://schemas.openxmlformats.org/spreadsheetml/2006/main" headerRowCount="0" ref="A2:F7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ummons-style 3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1.25"/>
    <col customWidth="1" min="3" max="3" width="28.88"/>
    <col customWidth="1" min="4" max="4" width="22.75"/>
    <col customWidth="1" min="6" max="6" width="22.5"/>
    <col customWidth="1" min="7" max="7" width="20.75"/>
  </cols>
  <sheetData>
    <row r="1">
      <c r="A1" s="1" t="s">
        <v>0</v>
      </c>
    </row>
    <row r="2">
      <c r="A2" s="2" t="s">
        <v>1</v>
      </c>
      <c r="G2" s="3" t="s">
        <v>2</v>
      </c>
    </row>
    <row r="3">
      <c r="C3" s="4"/>
      <c r="D3" s="5"/>
      <c r="G3" s="6"/>
      <c r="H3" s="7" t="s">
        <v>3</v>
      </c>
      <c r="I3" s="8" t="s">
        <v>4</v>
      </c>
      <c r="J3" s="8" t="s">
        <v>5</v>
      </c>
      <c r="K3" s="8" t="s">
        <v>6</v>
      </c>
      <c r="L3" s="9" t="s">
        <v>7</v>
      </c>
    </row>
    <row r="4">
      <c r="A4" s="10" t="s">
        <v>8</v>
      </c>
      <c r="C4" s="11"/>
      <c r="D4" s="12"/>
      <c r="G4" s="13"/>
      <c r="H4" s="14"/>
      <c r="I4" s="15"/>
      <c r="J4" s="16"/>
      <c r="K4" s="15"/>
      <c r="L4" s="17"/>
    </row>
    <row r="5">
      <c r="A5" s="18" t="s">
        <v>9</v>
      </c>
      <c r="B5" s="18" t="str">
        <f>SWITCH($D$5,"Bishop",1,"Archmage",1.25,"-")</f>
        <v>-</v>
      </c>
      <c r="C5" s="19" t="s">
        <v>10</v>
      </c>
      <c r="D5" s="20" t="s">
        <v>11</v>
      </c>
      <c r="G5" s="6" t="s">
        <v>12</v>
      </c>
      <c r="H5" s="21">
        <v>21.0</v>
      </c>
      <c r="I5" s="22"/>
      <c r="J5" s="22"/>
      <c r="K5" s="22"/>
      <c r="L5" s="23">
        <v>139.0</v>
      </c>
    </row>
    <row r="6">
      <c r="A6" s="18" t="s">
        <v>13</v>
      </c>
      <c r="B6" s="18" t="str">
        <f>SWITCH($D$5,"Bishop",1,"Archmage",1.4,"-")</f>
        <v>-</v>
      </c>
      <c r="C6" s="24" t="str">
        <f>IF(OR($D$5="Hero",$D$5="Pally"),"Weapon:","")</f>
        <v/>
      </c>
      <c r="D6" s="25"/>
      <c r="E6" s="26" t="s">
        <v>14</v>
      </c>
      <c r="G6" s="13" t="s">
        <v>15</v>
      </c>
      <c r="H6" s="27"/>
      <c r="I6" s="28"/>
      <c r="J6" s="27"/>
      <c r="K6" s="27"/>
      <c r="L6" s="29"/>
      <c r="P6" s="30"/>
    </row>
    <row r="7">
      <c r="C7" s="31" t="s">
        <v>16</v>
      </c>
      <c r="D7" s="32">
        <f>SWITCH(D5,"MM",0.9,"BM",0.9,"DrK",0.8,0.6)</f>
        <v>0.8</v>
      </c>
      <c r="G7" s="6" t="s">
        <v>17</v>
      </c>
      <c r="H7" s="33"/>
      <c r="I7" s="33"/>
      <c r="J7" s="33"/>
      <c r="K7" s="33"/>
      <c r="L7" s="34"/>
    </row>
    <row r="8">
      <c r="A8" s="10" t="s">
        <v>18</v>
      </c>
      <c r="B8">
        <f>J31+L31+E8+E10</f>
        <v>319</v>
      </c>
      <c r="C8" s="19" t="s">
        <v>19</v>
      </c>
      <c r="D8" s="20" t="s">
        <v>20</v>
      </c>
      <c r="E8" s="35">
        <f>SWITCH(D8,"None",0,"Stopper",IF(OR($D$5="Archmage",$D$5="Bishop"),0,60),"Apple",100,"Gelt",120,"Naricain's Demon Elixir",IF(OR($D$5="Archmage",$D$5="Bishop"),0,140),"Spellbound Lollipop",IF(OR($D$5="Archmage",$D$5="Bishop"),45,0),"Graham Pie",IF(OR($D$5="Archmage",$D$5="Bishop"),120,0),"Sswis Cheese",IF(OR($D$5="Archmage",$D$5="Bishop"),220,0),"Subani's Mystic Cauldron",IF(OR($D$5="Archmage",$D$5="Bishop"),200,0),0)</f>
        <v>100</v>
      </c>
      <c r="G8" s="13" t="s">
        <v>21</v>
      </c>
      <c r="H8" s="36">
        <v>21.0</v>
      </c>
      <c r="I8" s="36">
        <v>40.0</v>
      </c>
      <c r="J8" s="37"/>
      <c r="K8" s="37"/>
      <c r="L8" s="29"/>
    </row>
    <row r="9">
      <c r="C9" s="19" t="s">
        <v>22</v>
      </c>
      <c r="D9" s="20" t="s">
        <v>23</v>
      </c>
      <c r="E9" s="35">
        <f>switch($D$9,"None",0,"Ilbis/Hwabis",27,"Cilbis",29,"Bfury",30,"Eternal bullet",20,"Diamond/Red Arrow",4,0)
</f>
        <v>0</v>
      </c>
      <c r="G9" s="38" t="s">
        <v>24</v>
      </c>
      <c r="H9" s="39">
        <v>60.0</v>
      </c>
      <c r="I9" s="39">
        <v>8.0</v>
      </c>
      <c r="J9" s="40"/>
      <c r="K9" s="40"/>
      <c r="L9" s="41"/>
    </row>
    <row r="10">
      <c r="C10" s="19" t="s">
        <v>25</v>
      </c>
      <c r="D10" s="20" t="s">
        <v>26</v>
      </c>
      <c r="E10" s="42">
        <f>IF(D10="Yes",ROUNDDOWN(IF(OR($D$5="Archmage",$D$5="Bishop"),(J31+L31+E8)*0.04,(L31+E8+E9)*0.04),0),0)</f>
        <v>12</v>
      </c>
      <c r="G10" s="13" t="s">
        <v>27</v>
      </c>
      <c r="H10" s="43"/>
      <c r="I10" s="43"/>
      <c r="J10" s="28"/>
      <c r="K10" s="27"/>
      <c r="L10" s="44"/>
    </row>
    <row r="11">
      <c r="A11" s="45"/>
      <c r="C11" s="19" t="s">
        <v>28</v>
      </c>
      <c r="D11" s="46">
        <v>6.0</v>
      </c>
      <c r="E11" s="42">
        <f>IF(D14="Yes",IF(D11-4&lt;2,2,D11-4),IF(D11-2&lt;2,2,D11-2))</f>
        <v>2</v>
      </c>
      <c r="G11" s="38" t="s">
        <v>29</v>
      </c>
      <c r="H11" s="40"/>
      <c r="I11" s="47"/>
      <c r="J11" s="40"/>
      <c r="K11" s="47"/>
      <c r="L11" s="48">
        <v>20.0</v>
      </c>
    </row>
    <row r="12">
      <c r="C12" s="11"/>
      <c r="D12" s="12"/>
      <c r="G12" s="13" t="s">
        <v>30</v>
      </c>
      <c r="H12" s="27"/>
      <c r="I12" s="28"/>
      <c r="J12" s="27"/>
      <c r="K12" s="28"/>
      <c r="L12" s="49">
        <v>20.0</v>
      </c>
    </row>
    <row r="13">
      <c r="C13" s="19" t="s">
        <v>31</v>
      </c>
      <c r="D13" s="20" t="s">
        <v>26</v>
      </c>
      <c r="G13" s="38" t="s">
        <v>32</v>
      </c>
      <c r="H13" s="40"/>
      <c r="I13" s="47"/>
      <c r="J13" s="40"/>
      <c r="K13" s="47"/>
      <c r="L13" s="48">
        <v>20.0</v>
      </c>
    </row>
    <row r="14">
      <c r="C14" s="19" t="s">
        <v>33</v>
      </c>
      <c r="D14" s="20" t="s">
        <v>26</v>
      </c>
      <c r="G14" s="11"/>
      <c r="H14" s="28"/>
      <c r="I14" s="28"/>
      <c r="J14" s="28"/>
      <c r="K14" s="28"/>
      <c r="L14" s="44"/>
    </row>
    <row r="15">
      <c r="C15" s="19" t="s">
        <v>34</v>
      </c>
      <c r="D15" s="20">
        <v>20.0</v>
      </c>
      <c r="E15" s="35">
        <f>VLOOKUP(D15,'maple warrior'!$A$2:$B$32,2,TRUE)</f>
        <v>1.1</v>
      </c>
      <c r="G15" s="6" t="s">
        <v>35</v>
      </c>
      <c r="H15" s="33"/>
      <c r="I15" s="33"/>
      <c r="J15" s="33"/>
      <c r="K15" s="33"/>
      <c r="L15" s="34"/>
    </row>
    <row r="16">
      <c r="C16" s="19" t="s">
        <v>36</v>
      </c>
      <c r="D16" s="20" t="s">
        <v>37</v>
      </c>
      <c r="G16" s="13" t="s">
        <v>38</v>
      </c>
      <c r="H16" s="36">
        <v>15.0</v>
      </c>
      <c r="J16" s="27"/>
      <c r="K16" s="27"/>
      <c r="L16" s="29"/>
    </row>
    <row r="17">
      <c r="C17" s="11"/>
      <c r="D17" s="12"/>
      <c r="E17" s="50" t="str">
        <f>IF(OR($D$6="1H Axe",$D$6="2H Axe",$D$6="1H BW",$D$6="2H BW"),"Slash","")</f>
        <v/>
      </c>
      <c r="F17" s="50" t="str">
        <f>IF(OR($D$6="1H Axe",$D$6="2H Axe",$D$6="1H BW",$D$6="2H BW"),"Stab",IF($D$5="NL","TT range",""))</f>
        <v/>
      </c>
      <c r="G17" s="38" t="s">
        <v>39</v>
      </c>
      <c r="H17" s="51">
        <v>6.0</v>
      </c>
      <c r="I17" s="39">
        <v>6.0</v>
      </c>
      <c r="J17" s="40"/>
      <c r="K17" s="47"/>
      <c r="L17" s="41"/>
    </row>
    <row r="18">
      <c r="C18" s="19" t="s">
        <v>40</v>
      </c>
      <c r="D18" s="52" t="str">
        <f>IF(OR($D$5="Hero",$D$5="Pally"),IF(NOT(OR($D$6="1H Sword",$D$6="2H Sword")),$F$18&amp;"-"&amp;$E$19,$E$18&amp;"-"&amp;$E$19),$E$18&amp;"-"&amp;$E$19)</f>
        <v>14824-20434</v>
      </c>
      <c r="E18" s="42">
        <f>ROUNDDOWN(IF(OR($D$5="Archmage",$D$5="Bishop"),(($B$8*$B$8/1000+$B$8*0.6*0.9)/30+$J$31/200)*$B$6*$B$5,SWITCH($D$5,"Hero",H31*VLOOKUP($D$6,Weapons!$D$7:$E$13,2,false)*0.9*D7+I31,"Pally",H31*VLOOKUP($D$6,Weapons!$D$7:$E$13,2,false)*0.9*D7+I31,"DrK",H31*5*0.9*D7+I31,"MM",I31*3.6*0.9*D7+H31,"BM",I31*3.4*0.9*D7+H31,"NL",K31*3.6*0.9*D7+H31+I31,"Shad",K31*3.6*0.9*D7+H31+I31,"Bucc",H31*4.8*0.9*D7+I31,"Sair",I31*3.6*0.9*D7+H31,"ERROR")*(L31+E8+E9+E10)/100),0)</f>
        <v>14824</v>
      </c>
      <c r="F18" s="53" t="str">
        <f>IF(OR($D$6="",$D$6="1H Sword",$D$6="2H Sword"),IF($D$5="NL",ROUNDDOWN(2.5*$K$31*($L$31+$E$8+$E$9+$E$10)/100,0),""),ROUNDDOWN((H31*VLOOKUP($D$6,Weapons!$D$7:$F$13,3,false)*0.9*D7+I31)*(L31+E8+E9+E10)/100,0))</f>
        <v/>
      </c>
      <c r="G18" s="13" t="s">
        <v>41</v>
      </c>
      <c r="H18" s="36">
        <v>10.0</v>
      </c>
      <c r="I18" s="36">
        <v>5.0</v>
      </c>
      <c r="J18" s="27"/>
      <c r="K18" s="27"/>
      <c r="L18" s="44"/>
    </row>
    <row r="19">
      <c r="C19" s="19"/>
      <c r="D19" s="12"/>
      <c r="E19" s="42">
        <f>ROUNDDOWN(IF(OR($D$5="Archmage",$D$5="Bishop"),(($B$8*$B$8/1000+$B$8)/30+$J$31/200)*$B$6*$B$5,SWITCH($D$5,"Hero",H31*VLOOKUP($D$6,Weapons!$D$7:$E$13,2,false)+I31,"Pally",H31*VLOOKUP($D$6,Weapons!$D$7:$E$13,2,false)+I31,"DrK",H31*5+I31,"MM",I31*3.6+H31,"BM",I31*3.4+H31,"NL",K31*3.6+H31+I31,"Shad",K31*3.6+H31+I31,"Bucc",H31*4.8+I31,"Sair",I31*3.6+H31,"ERROR")*(L31+E8+E9+E10)/100),0)</f>
        <v>20434</v>
      </c>
      <c r="F19" s="53" t="str">
        <f>IF(OR($D$6="",$D$6="1H Sword",$D$6="2H Sword"),IF($D$5="NL",ROUNDDOWN(5*$K$31*($L$31+$E$8+$E$9+$E$10)/100,0),""),ROUNDDOWN((H31*VLOOKUP($D$6,Weapons!$D$7:$F$13,3,false)+I31)*(L31+E8+E9+E10)/100,0))</f>
        <v/>
      </c>
      <c r="G19" s="38" t="s">
        <v>42</v>
      </c>
      <c r="H19" s="54">
        <v>22.0</v>
      </c>
      <c r="I19" s="39">
        <v>23.0</v>
      </c>
      <c r="J19" s="54"/>
      <c r="K19" s="54"/>
      <c r="L19" s="55"/>
    </row>
    <row r="20">
      <c r="C20" s="19" t="s">
        <v>43</v>
      </c>
      <c r="D20" s="12">
        <f>IF($F$17="",(E18+E19)/2,"")
</f>
        <v>17629</v>
      </c>
      <c r="G20" s="13" t="s">
        <v>44</v>
      </c>
      <c r="H20" s="27"/>
      <c r="I20" s="43">
        <v>5.0</v>
      </c>
      <c r="J20" s="27"/>
      <c r="K20" s="27"/>
      <c r="L20" s="44"/>
    </row>
    <row r="21">
      <c r="C21" s="56"/>
      <c r="D21" s="57"/>
      <c r="G21" s="38" t="s">
        <v>45</v>
      </c>
      <c r="H21" s="54"/>
      <c r="I21" s="54"/>
      <c r="J21" s="54"/>
      <c r="K21" s="54"/>
      <c r="L21" s="58">
        <v>3.0</v>
      </c>
    </row>
    <row r="22">
      <c r="B22" s="4"/>
      <c r="C22" s="59"/>
      <c r="D22" s="60" t="str">
        <f>IF($D$5="Shad","Ratio (look at ME for numbers)", "Ratio of Usage")</f>
        <v>Ratio of Usage</v>
      </c>
      <c r="F22" s="10" t="s">
        <v>46</v>
      </c>
      <c r="G22" s="13" t="s">
        <v>47</v>
      </c>
      <c r="H22" s="36">
        <v>8.0</v>
      </c>
      <c r="I22" s="36">
        <v>5.0</v>
      </c>
      <c r="J22" s="37"/>
      <c r="K22" s="37"/>
      <c r="L22" s="29"/>
    </row>
    <row r="23">
      <c r="B23" s="19" t="s">
        <v>48</v>
      </c>
      <c r="C23" s="61" t="s">
        <v>49</v>
      </c>
      <c r="D23" s="20">
        <v>1.0</v>
      </c>
      <c r="E23" s="62">
        <f>(D23/(D23+D24+D25))</f>
        <v>1</v>
      </c>
      <c r="F23" s="61">
        <v>1.0</v>
      </c>
      <c r="G23" s="38" t="s">
        <v>50</v>
      </c>
      <c r="H23" s="39">
        <v>5.0</v>
      </c>
      <c r="I23" s="39">
        <v>5.0</v>
      </c>
      <c r="J23" s="54"/>
      <c r="K23" s="54"/>
      <c r="L23" s="41"/>
    </row>
    <row r="24">
      <c r="B24" s="19" t="s">
        <v>51</v>
      </c>
      <c r="C24" s="61" t="s">
        <v>52</v>
      </c>
      <c r="D24" s="20">
        <v>0.0</v>
      </c>
      <c r="E24" s="62">
        <f>(D24/(D23+D24+D25))</f>
        <v>0</v>
      </c>
      <c r="F24" s="61">
        <v>1.0</v>
      </c>
      <c r="G24" s="13" t="s">
        <v>53</v>
      </c>
      <c r="H24" s="36">
        <v>3.0</v>
      </c>
      <c r="I24" s="36">
        <v>2.0</v>
      </c>
      <c r="J24" s="37"/>
      <c r="K24" s="37"/>
      <c r="L24" s="63"/>
    </row>
    <row r="25">
      <c r="B25" s="64" t="s">
        <v>54</v>
      </c>
      <c r="C25" s="65" t="s">
        <v>52</v>
      </c>
      <c r="D25" s="66">
        <v>0.0</v>
      </c>
      <c r="E25" s="62">
        <f>(D25/(D23+D24+D25))</f>
        <v>0</v>
      </c>
      <c r="F25" s="61">
        <v>1.0</v>
      </c>
      <c r="G25" s="38" t="s">
        <v>55</v>
      </c>
      <c r="H25" s="54">
        <v>3.0</v>
      </c>
      <c r="I25" s="54">
        <v>3.0</v>
      </c>
      <c r="J25" s="54"/>
      <c r="K25" s="54"/>
      <c r="L25" s="58">
        <v>1.0</v>
      </c>
    </row>
    <row r="26">
      <c r="B26" s="11"/>
      <c r="D26" s="12"/>
      <c r="G26" s="67"/>
      <c r="H26" s="28"/>
      <c r="I26" s="28"/>
      <c r="J26" s="28"/>
      <c r="K26" s="28"/>
      <c r="L26" s="44"/>
    </row>
    <row r="27">
      <c r="B27" s="11"/>
      <c r="C27" s="50" t="s">
        <v>56</v>
      </c>
      <c r="D27" s="20" t="s">
        <v>23</v>
      </c>
      <c r="F27" s="61">
        <v>1.0</v>
      </c>
      <c r="G27" s="68" t="s">
        <v>57</v>
      </c>
      <c r="H27" s="21">
        <v>999.0</v>
      </c>
      <c r="I27" s="21">
        <v>23.0</v>
      </c>
      <c r="J27" s="69">
        <v>4.0</v>
      </c>
      <c r="K27" s="69">
        <v>4.0</v>
      </c>
      <c r="L27" s="34"/>
    </row>
    <row r="28">
      <c r="B28" s="11"/>
      <c r="D28" s="12"/>
      <c r="G28" s="11"/>
      <c r="H28" s="70">
        <f t="shared" ref="H28:K28" si="1">ROUNDDOWN(H27*$E$15,0)</f>
        <v>1098</v>
      </c>
      <c r="I28" s="70">
        <f t="shared" si="1"/>
        <v>25</v>
      </c>
      <c r="J28" s="70">
        <f t="shared" si="1"/>
        <v>4</v>
      </c>
      <c r="K28" s="70">
        <f t="shared" si="1"/>
        <v>4</v>
      </c>
      <c r="L28" s="71"/>
    </row>
    <row r="29">
      <c r="B29" s="11"/>
      <c r="C29" s="50" t="s">
        <v>58</v>
      </c>
      <c r="D29" s="72">
        <f>VLOOKUP(C23,dmg!B8:O1003,14,FALSE)*E23*F23+VLOOKUP(C24,dmg!B8:O1003,14,FALSE)*E24*F24+VLOOKUP(C25,dmg!B8:O1003,14,FALSE)*E25*F25+VLOOKUP(D27,summons!B2:F1003,4,FALSE)*F27</f>
        <v>249417.7037</v>
      </c>
      <c r="G29" s="13"/>
      <c r="L29" s="71"/>
    </row>
    <row r="30">
      <c r="B30" s="11"/>
      <c r="C30" s="50" t="s">
        <v>59</v>
      </c>
      <c r="D30" s="73" t="str">
        <f>CONCATENATE(ROUNDDOWN(D29*60/1000000,2),"m")</f>
        <v>14.96m</v>
      </c>
      <c r="G30" s="67"/>
      <c r="H30" s="74" t="s">
        <v>3</v>
      </c>
      <c r="I30" s="74" t="s">
        <v>4</v>
      </c>
      <c r="J30" s="74" t="s">
        <v>5</v>
      </c>
      <c r="K30" s="74" t="s">
        <v>6</v>
      </c>
      <c r="L30" s="75" t="s">
        <v>60</v>
      </c>
    </row>
    <row r="31">
      <c r="B31" s="76"/>
      <c r="C31" s="77"/>
      <c r="D31" s="78"/>
      <c r="G31" s="79" t="s">
        <v>61</v>
      </c>
      <c r="H31" s="80">
        <f t="shared" ref="H31:K31" si="2">SUM(H4:H26,H28)</f>
        <v>1272</v>
      </c>
      <c r="I31" s="80">
        <f t="shared" si="2"/>
        <v>127</v>
      </c>
      <c r="J31" s="80">
        <f t="shared" si="2"/>
        <v>4</v>
      </c>
      <c r="K31" s="80">
        <f t="shared" si="2"/>
        <v>4</v>
      </c>
      <c r="L31" s="81">
        <f>SWITCH($D$5,"MM",10,"BM",10,0)+SUM(L5:L26)</f>
        <v>203</v>
      </c>
    </row>
    <row r="32">
      <c r="A32" s="82"/>
    </row>
    <row r="33">
      <c r="B33" s="50" t="s">
        <v>62</v>
      </c>
      <c r="D33" s="50" t="s">
        <v>63</v>
      </c>
      <c r="L33" s="10" t="s">
        <v>64</v>
      </c>
    </row>
    <row r="34">
      <c r="B34" s="83" t="s">
        <v>37</v>
      </c>
      <c r="D34" s="83">
        <v>280.0</v>
      </c>
    </row>
    <row r="36">
      <c r="B36" s="84" t="s">
        <v>26</v>
      </c>
    </row>
    <row r="37">
      <c r="B37" s="84" t="s">
        <v>37</v>
      </c>
    </row>
  </sheetData>
  <conditionalFormatting sqref="D6">
    <cfRule type="expression" dxfId="0" priority="1">
      <formula>OR($D$5="Hero",$D$5="Pally")</formula>
    </cfRule>
  </conditionalFormatting>
  <dataValidations>
    <dataValidation type="list" allowBlank="1" showErrorMessage="1" sqref="D5">
      <formula1>"Hero,Pally,DrK,MM,BM,NL,Shad,Bucc,Sair,Archmage,Bishop"</formula1>
    </dataValidation>
    <dataValidation type="list" allowBlank="1" sqref="D6">
      <formula1>Weapons!$B$9:$B$1000</formula1>
    </dataValidation>
    <dataValidation type="list" allowBlank="1" showErrorMessage="1" sqref="D10 D13:D14 D16">
      <formula1>"Yes,No"</formula1>
    </dataValidation>
    <dataValidation type="list" allowBlank="1" sqref="B34">
      <formula1>'range calculator'!$B$36:$B$37</formula1>
    </dataValidation>
    <dataValidation type="list" allowBlank="1" sqref="D9">
      <formula1>"None,Ilbis/Hwabis,Cilbis,Bfury,Eternal bullet,Diamond/Red Arrow"</formula1>
    </dataValidation>
    <dataValidation type="list" allowBlank="1" showErrorMessage="1" sqref="C23:C25">
      <formula1>dmg!$R$8:$R$1009</formula1>
    </dataValidation>
    <dataValidation type="list" allowBlank="1" sqref="D8">
      <formula1>"None,Stopper,Apple,Gelt,Naricain's Demon Elixir,Spellbound Lollipop,Graham Pie,Sswis Cheese,Subani's Mystic Cauldron"</formula1>
    </dataValidation>
    <dataValidation type="list" allowBlank="1" showErrorMessage="1" sqref="D11">
      <formula1>"2,3,4,5,6,7,8"</formula1>
    </dataValidation>
    <dataValidation type="list" allowBlank="1" sqref="D27">
      <formula1>summons!$B$2:$B1003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</cols>
  <sheetData>
    <row r="2">
      <c r="B2" s="10" t="s">
        <v>65</v>
      </c>
      <c r="H2" s="10" t="s">
        <v>66</v>
      </c>
    </row>
    <row r="3">
      <c r="A3" s="10" t="s">
        <v>67</v>
      </c>
      <c r="B3" s="21">
        <v>18.0</v>
      </c>
      <c r="C3" s="22"/>
      <c r="D3" s="22"/>
      <c r="E3" s="22"/>
      <c r="F3" s="23">
        <v>140.0</v>
      </c>
      <c r="H3" s="21">
        <v>21.0</v>
      </c>
      <c r="I3" s="22"/>
      <c r="J3" s="22"/>
      <c r="K3" s="22"/>
      <c r="L3" s="23">
        <v>150.0</v>
      </c>
    </row>
    <row r="4">
      <c r="B4" s="27"/>
      <c r="C4" s="28"/>
      <c r="D4" s="27"/>
      <c r="E4" s="27"/>
      <c r="F4" s="29"/>
      <c r="H4" s="27"/>
      <c r="I4" s="28"/>
      <c r="J4" s="27"/>
      <c r="K4" s="27"/>
      <c r="L4" s="29"/>
    </row>
    <row r="5">
      <c r="B5" s="33"/>
      <c r="C5" s="33"/>
      <c r="D5" s="33"/>
      <c r="E5" s="33"/>
      <c r="F5" s="34"/>
      <c r="H5" s="33"/>
      <c r="I5" s="33"/>
      <c r="J5" s="33"/>
      <c r="K5" s="33"/>
      <c r="L5" s="34"/>
    </row>
    <row r="6">
      <c r="B6" s="37">
        <v>17.0</v>
      </c>
      <c r="C6" s="36">
        <v>31.0</v>
      </c>
      <c r="D6" s="37"/>
      <c r="E6" s="37"/>
      <c r="F6" s="29"/>
      <c r="H6" s="36">
        <v>21.0</v>
      </c>
      <c r="I6" s="36">
        <v>40.0</v>
      </c>
      <c r="J6" s="37"/>
      <c r="K6" s="37"/>
      <c r="L6" s="29"/>
    </row>
    <row r="7">
      <c r="B7" s="39">
        <v>23.0</v>
      </c>
      <c r="C7" s="39">
        <v>7.0</v>
      </c>
      <c r="D7" s="40"/>
      <c r="E7" s="40"/>
      <c r="F7" s="41"/>
      <c r="H7" s="39">
        <v>60.0</v>
      </c>
      <c r="I7" s="39">
        <v>8.0</v>
      </c>
      <c r="J7" s="40"/>
      <c r="K7" s="40"/>
      <c r="L7" s="41"/>
    </row>
    <row r="8">
      <c r="B8" s="43">
        <v>8.0</v>
      </c>
      <c r="C8" s="43">
        <v>12.0</v>
      </c>
      <c r="D8" s="28"/>
      <c r="E8" s="27"/>
      <c r="F8" s="44"/>
      <c r="H8" s="43"/>
      <c r="I8" s="43"/>
      <c r="J8" s="28"/>
      <c r="K8" s="27"/>
      <c r="L8" s="44"/>
    </row>
    <row r="9">
      <c r="B9" s="40"/>
      <c r="C9" s="47"/>
      <c r="D9" s="40"/>
      <c r="E9" s="47"/>
      <c r="F9" s="48">
        <v>12.0</v>
      </c>
      <c r="H9" s="40"/>
      <c r="I9" s="47"/>
      <c r="J9" s="40"/>
      <c r="K9" s="47"/>
      <c r="L9" s="48">
        <v>20.0</v>
      </c>
    </row>
    <row r="10">
      <c r="B10" s="27"/>
      <c r="C10" s="28"/>
      <c r="D10" s="27"/>
      <c r="E10" s="28"/>
      <c r="F10" s="49">
        <v>10.0</v>
      </c>
      <c r="H10" s="27"/>
      <c r="I10" s="28"/>
      <c r="J10" s="27"/>
      <c r="K10" s="28"/>
      <c r="L10" s="49">
        <v>20.0</v>
      </c>
    </row>
    <row r="11">
      <c r="B11" s="40"/>
      <c r="C11" s="47"/>
      <c r="D11" s="40"/>
      <c r="E11" s="47"/>
      <c r="F11" s="48">
        <v>15.0</v>
      </c>
      <c r="H11" s="40"/>
      <c r="I11" s="47"/>
      <c r="J11" s="40"/>
      <c r="K11" s="47"/>
      <c r="L11" s="48">
        <v>20.0</v>
      </c>
    </row>
    <row r="12">
      <c r="B12" s="28"/>
      <c r="C12" s="28"/>
      <c r="D12" s="28"/>
      <c r="E12" s="28"/>
      <c r="F12" s="44"/>
      <c r="H12" s="28"/>
      <c r="I12" s="28"/>
      <c r="J12" s="28"/>
      <c r="K12" s="28"/>
      <c r="L12" s="44"/>
    </row>
    <row r="13">
      <c r="B13" s="33"/>
      <c r="C13" s="33"/>
      <c r="D13" s="33"/>
      <c r="E13" s="33"/>
      <c r="F13" s="34"/>
      <c r="H13" s="33"/>
      <c r="I13" s="33"/>
      <c r="J13" s="33"/>
      <c r="K13" s="33"/>
      <c r="L13" s="34"/>
    </row>
    <row r="14">
      <c r="B14" s="27"/>
      <c r="C14" s="37">
        <v>10.0</v>
      </c>
      <c r="D14" s="27"/>
      <c r="E14" s="27"/>
      <c r="F14" s="29"/>
      <c r="H14" s="36">
        <v>15.0</v>
      </c>
      <c r="J14" s="27"/>
      <c r="K14" s="27"/>
      <c r="L14" s="29"/>
    </row>
    <row r="15">
      <c r="B15" s="51">
        <v>2.0</v>
      </c>
      <c r="C15" s="39">
        <v>2.0</v>
      </c>
      <c r="D15" s="40"/>
      <c r="E15" s="47"/>
      <c r="F15" s="41"/>
      <c r="H15" s="51">
        <v>6.0</v>
      </c>
      <c r="I15" s="39">
        <v>6.0</v>
      </c>
      <c r="J15" s="40"/>
      <c r="K15" s="47"/>
      <c r="L15" s="41"/>
    </row>
    <row r="16">
      <c r="B16" s="37">
        <v>6.0</v>
      </c>
      <c r="C16" s="37"/>
      <c r="D16" s="27"/>
      <c r="E16" s="27"/>
      <c r="F16" s="44"/>
      <c r="H16" s="36">
        <v>10.0</v>
      </c>
      <c r="I16" s="36">
        <v>5.0</v>
      </c>
      <c r="J16" s="27"/>
      <c r="K16" s="27"/>
      <c r="L16" s="44"/>
    </row>
    <row r="17">
      <c r="B17" s="54">
        <v>22.0</v>
      </c>
      <c r="C17" s="39">
        <v>23.0</v>
      </c>
      <c r="D17" s="54"/>
      <c r="E17" s="54"/>
      <c r="F17" s="55"/>
      <c r="H17" s="54">
        <v>22.0</v>
      </c>
      <c r="I17" s="39">
        <v>23.0</v>
      </c>
      <c r="J17" s="54"/>
      <c r="K17" s="54"/>
      <c r="L17" s="55"/>
    </row>
    <row r="18">
      <c r="B18" s="27"/>
      <c r="C18" s="27"/>
      <c r="D18" s="27"/>
      <c r="E18" s="27"/>
      <c r="F18" s="44"/>
      <c r="H18" s="27"/>
      <c r="I18" s="43">
        <v>5.0</v>
      </c>
      <c r="J18" s="27"/>
      <c r="K18" s="27"/>
      <c r="L18" s="44"/>
    </row>
    <row r="19">
      <c r="B19" s="54">
        <v>2.0</v>
      </c>
      <c r="C19" s="54">
        <v>2.0</v>
      </c>
      <c r="D19" s="54"/>
      <c r="E19" s="54"/>
      <c r="F19" s="55"/>
      <c r="H19" s="54"/>
      <c r="I19" s="54"/>
      <c r="J19" s="54"/>
      <c r="K19" s="54"/>
      <c r="L19" s="58">
        <v>3.0</v>
      </c>
    </row>
    <row r="20">
      <c r="B20" s="36">
        <v>3.0</v>
      </c>
      <c r="C20" s="36">
        <v>3.0</v>
      </c>
      <c r="D20" s="37"/>
      <c r="E20" s="37"/>
      <c r="F20" s="29"/>
      <c r="H20" s="36">
        <v>8.0</v>
      </c>
      <c r="I20" s="36">
        <v>5.0</v>
      </c>
      <c r="J20" s="37"/>
      <c r="K20" s="37"/>
      <c r="L20" s="29"/>
    </row>
    <row r="21">
      <c r="B21" s="39">
        <v>2.0</v>
      </c>
      <c r="C21" s="39">
        <v>2.0</v>
      </c>
      <c r="D21" s="54"/>
      <c r="E21" s="54"/>
      <c r="F21" s="41"/>
      <c r="H21" s="39">
        <v>5.0</v>
      </c>
      <c r="I21" s="39">
        <v>5.0</v>
      </c>
      <c r="J21" s="54"/>
      <c r="K21" s="54"/>
      <c r="L21" s="41"/>
    </row>
    <row r="22">
      <c r="B22" s="36">
        <v>1.0</v>
      </c>
      <c r="C22" s="36">
        <v>1.0</v>
      </c>
      <c r="D22" s="37"/>
      <c r="E22" s="37"/>
      <c r="F22" s="63"/>
      <c r="H22" s="36">
        <v>3.0</v>
      </c>
      <c r="I22" s="36">
        <v>2.0</v>
      </c>
      <c r="J22" s="37"/>
      <c r="K22" s="37"/>
      <c r="L22" s="63"/>
    </row>
    <row r="23">
      <c r="B23" s="54">
        <v>3.0</v>
      </c>
      <c r="C23" s="54">
        <v>3.0</v>
      </c>
      <c r="D23" s="54"/>
      <c r="E23" s="54"/>
      <c r="F23" s="58">
        <v>1.0</v>
      </c>
      <c r="H23" s="54">
        <v>3.0</v>
      </c>
      <c r="I23" s="54">
        <v>3.0</v>
      </c>
      <c r="J23" s="54"/>
      <c r="K23" s="54"/>
      <c r="L23" s="58">
        <v>1.0</v>
      </c>
    </row>
    <row r="24">
      <c r="B24" s="28"/>
      <c r="C24" s="28"/>
      <c r="D24" s="28"/>
      <c r="E24" s="28"/>
      <c r="F24" s="44"/>
      <c r="H24" s="28"/>
      <c r="I24" s="28"/>
      <c r="J24" s="28"/>
      <c r="K24" s="28"/>
      <c r="L24" s="44"/>
    </row>
    <row r="25">
      <c r="B25" s="21">
        <v>700.0</v>
      </c>
      <c r="C25" s="21">
        <v>22.0</v>
      </c>
      <c r="D25" s="69">
        <v>4.0</v>
      </c>
      <c r="E25" s="69">
        <v>4.0</v>
      </c>
      <c r="F25" s="34"/>
      <c r="H25" s="21">
        <v>999.0</v>
      </c>
      <c r="I25" s="21">
        <v>23.0</v>
      </c>
      <c r="J25" s="69">
        <v>4.0</v>
      </c>
      <c r="K25" s="69">
        <v>4.0</v>
      </c>
      <c r="L25" s="34"/>
    </row>
    <row r="28">
      <c r="A28" s="10" t="s">
        <v>68</v>
      </c>
      <c r="B28" s="21">
        <v>18.0</v>
      </c>
      <c r="C28" s="22"/>
      <c r="D28" s="22"/>
      <c r="E28" s="22"/>
      <c r="F28" s="23">
        <v>140.0</v>
      </c>
      <c r="H28" s="21">
        <v>21.0</v>
      </c>
      <c r="I28" s="22"/>
      <c r="J28" s="22"/>
      <c r="K28" s="22"/>
      <c r="L28" s="23">
        <v>150.0</v>
      </c>
    </row>
    <row r="29">
      <c r="B29" s="27"/>
      <c r="C29" s="28"/>
      <c r="D29" s="27"/>
      <c r="E29" s="27"/>
      <c r="F29" s="29"/>
      <c r="H29" s="27"/>
      <c r="I29" s="28"/>
      <c r="J29" s="27"/>
      <c r="K29" s="27"/>
      <c r="L29" s="29"/>
    </row>
    <row r="30">
      <c r="B30" s="33"/>
      <c r="C30" s="33"/>
      <c r="D30" s="33"/>
      <c r="E30" s="33"/>
      <c r="F30" s="34"/>
      <c r="H30" s="33"/>
      <c r="I30" s="33"/>
      <c r="J30" s="33"/>
      <c r="K30" s="33"/>
      <c r="L30" s="34"/>
    </row>
    <row r="31">
      <c r="B31" s="37">
        <v>17.0</v>
      </c>
      <c r="C31" s="36">
        <v>31.0</v>
      </c>
      <c r="D31" s="37"/>
      <c r="E31" s="37"/>
      <c r="F31" s="29"/>
      <c r="H31" s="36">
        <v>21.0</v>
      </c>
      <c r="I31" s="36">
        <v>40.0</v>
      </c>
      <c r="J31" s="37"/>
      <c r="K31" s="37"/>
      <c r="L31" s="29"/>
    </row>
    <row r="32">
      <c r="B32" s="39">
        <v>23.0</v>
      </c>
      <c r="C32" s="39">
        <v>7.0</v>
      </c>
      <c r="D32" s="40"/>
      <c r="E32" s="40"/>
      <c r="F32" s="41"/>
      <c r="H32" s="39">
        <v>60.0</v>
      </c>
      <c r="I32" s="39">
        <v>8.0</v>
      </c>
      <c r="J32" s="40"/>
      <c r="K32" s="40"/>
      <c r="L32" s="41"/>
    </row>
    <row r="33">
      <c r="B33" s="43">
        <v>8.0</v>
      </c>
      <c r="C33" s="43">
        <v>12.0</v>
      </c>
      <c r="D33" s="28"/>
      <c r="E33" s="27"/>
      <c r="F33" s="44"/>
      <c r="H33" s="43"/>
      <c r="I33" s="43"/>
      <c r="J33" s="28"/>
      <c r="K33" s="27"/>
      <c r="L33" s="44"/>
    </row>
    <row r="34">
      <c r="A34" s="10" t="s">
        <v>69</v>
      </c>
      <c r="B34" s="40"/>
      <c r="C34" s="47"/>
      <c r="D34" s="40"/>
      <c r="E34" s="47"/>
      <c r="F34" s="48">
        <v>29.0</v>
      </c>
      <c r="H34" s="40"/>
      <c r="I34" s="47"/>
      <c r="J34" s="40"/>
      <c r="K34" s="47"/>
      <c r="L34" s="48">
        <v>37.0</v>
      </c>
    </row>
    <row r="35">
      <c r="B35" s="27"/>
      <c r="C35" s="28"/>
      <c r="D35" s="27"/>
      <c r="E35" s="28"/>
      <c r="F35" s="49">
        <v>10.0</v>
      </c>
      <c r="H35" s="27"/>
      <c r="I35" s="28"/>
      <c r="J35" s="27"/>
      <c r="K35" s="28"/>
      <c r="L35" s="49">
        <v>20.0</v>
      </c>
    </row>
    <row r="36">
      <c r="B36" s="40"/>
      <c r="C36" s="47"/>
      <c r="D36" s="40"/>
      <c r="E36" s="47"/>
      <c r="F36" s="48">
        <v>15.0</v>
      </c>
      <c r="H36" s="40"/>
      <c r="I36" s="47"/>
      <c r="J36" s="40"/>
      <c r="K36" s="47"/>
      <c r="L36" s="48">
        <v>20.0</v>
      </c>
    </row>
    <row r="37">
      <c r="B37" s="28"/>
      <c r="C37" s="28"/>
      <c r="D37" s="28"/>
      <c r="E37" s="28"/>
      <c r="F37" s="44"/>
      <c r="H37" s="28"/>
      <c r="I37" s="28"/>
      <c r="J37" s="28"/>
      <c r="K37" s="28"/>
      <c r="L37" s="44"/>
    </row>
    <row r="38">
      <c r="B38" s="33"/>
      <c r="C38" s="33"/>
      <c r="D38" s="33"/>
      <c r="E38" s="33"/>
      <c r="F38" s="34"/>
      <c r="H38" s="33"/>
      <c r="I38" s="33"/>
      <c r="J38" s="33"/>
      <c r="K38" s="33"/>
      <c r="L38" s="34"/>
    </row>
    <row r="39">
      <c r="B39" s="27"/>
      <c r="C39" s="37">
        <v>10.0</v>
      </c>
      <c r="D39" s="27"/>
      <c r="E39" s="27"/>
      <c r="F39" s="29"/>
      <c r="H39" s="36">
        <v>15.0</v>
      </c>
      <c r="J39" s="27"/>
      <c r="K39" s="27"/>
      <c r="L39" s="29"/>
    </row>
    <row r="40">
      <c r="B40" s="51">
        <v>2.0</v>
      </c>
      <c r="C40" s="39">
        <v>2.0</v>
      </c>
      <c r="D40" s="40"/>
      <c r="E40" s="47"/>
      <c r="F40" s="41"/>
      <c r="H40" s="51">
        <v>6.0</v>
      </c>
      <c r="I40" s="39">
        <v>6.0</v>
      </c>
      <c r="J40" s="40"/>
      <c r="K40" s="47"/>
      <c r="L40" s="41"/>
    </row>
    <row r="41">
      <c r="B41" s="37">
        <v>6.0</v>
      </c>
      <c r="C41" s="37"/>
      <c r="D41" s="27"/>
      <c r="E41" s="27"/>
      <c r="F41" s="44"/>
      <c r="H41" s="36">
        <v>10.0</v>
      </c>
      <c r="I41" s="36">
        <v>5.0</v>
      </c>
      <c r="J41" s="27"/>
      <c r="K41" s="27"/>
      <c r="L41" s="44"/>
    </row>
    <row r="42">
      <c r="B42" s="54">
        <v>22.0</v>
      </c>
      <c r="C42" s="39">
        <v>23.0</v>
      </c>
      <c r="D42" s="54"/>
      <c r="E42" s="54"/>
      <c r="F42" s="55"/>
      <c r="H42" s="54">
        <v>22.0</v>
      </c>
      <c r="I42" s="39">
        <v>23.0</v>
      </c>
      <c r="J42" s="54"/>
      <c r="K42" s="54"/>
      <c r="L42" s="55"/>
    </row>
    <row r="43">
      <c r="B43" s="27"/>
      <c r="C43" s="27"/>
      <c r="D43" s="27"/>
      <c r="E43" s="27"/>
      <c r="F43" s="44"/>
      <c r="H43" s="27"/>
      <c r="I43" s="43">
        <v>5.0</v>
      </c>
      <c r="J43" s="27"/>
      <c r="K43" s="27"/>
      <c r="L43" s="44"/>
    </row>
    <row r="44">
      <c r="B44" s="54">
        <v>2.0</v>
      </c>
      <c r="C44" s="54">
        <v>2.0</v>
      </c>
      <c r="D44" s="54"/>
      <c r="E44" s="54"/>
      <c r="F44" s="55"/>
      <c r="H44" s="54"/>
      <c r="I44" s="54"/>
      <c r="J44" s="54"/>
      <c r="K44" s="54"/>
      <c r="L44" s="58">
        <v>3.0</v>
      </c>
    </row>
    <row r="45">
      <c r="B45" s="36">
        <v>3.0</v>
      </c>
      <c r="C45" s="36">
        <v>3.0</v>
      </c>
      <c r="D45" s="37"/>
      <c r="E45" s="37"/>
      <c r="F45" s="29"/>
      <c r="H45" s="36">
        <v>8.0</v>
      </c>
      <c r="I45" s="36">
        <v>5.0</v>
      </c>
      <c r="J45" s="37"/>
      <c r="K45" s="37"/>
      <c r="L45" s="29"/>
    </row>
    <row r="46">
      <c r="B46" s="39">
        <v>2.0</v>
      </c>
      <c r="C46" s="39">
        <v>2.0</v>
      </c>
      <c r="D46" s="54"/>
      <c r="E46" s="54"/>
      <c r="F46" s="41"/>
      <c r="H46" s="39">
        <v>5.0</v>
      </c>
      <c r="I46" s="39">
        <v>5.0</v>
      </c>
      <c r="J46" s="54"/>
      <c r="K46" s="54"/>
      <c r="L46" s="41"/>
    </row>
    <row r="47">
      <c r="B47" s="36">
        <v>1.0</v>
      </c>
      <c r="C47" s="36">
        <v>1.0</v>
      </c>
      <c r="D47" s="37"/>
      <c r="E47" s="37"/>
      <c r="F47" s="63"/>
      <c r="H47" s="36">
        <v>3.0</v>
      </c>
      <c r="I47" s="36">
        <v>2.0</v>
      </c>
      <c r="J47" s="37"/>
      <c r="K47" s="37"/>
      <c r="L47" s="63"/>
    </row>
    <row r="48">
      <c r="B48" s="54">
        <v>3.0</v>
      </c>
      <c r="C48" s="54">
        <v>3.0</v>
      </c>
      <c r="D48" s="54"/>
      <c r="E48" s="54"/>
      <c r="F48" s="58">
        <v>1.0</v>
      </c>
      <c r="H48" s="54">
        <v>3.0</v>
      </c>
      <c r="I48" s="54">
        <v>3.0</v>
      </c>
      <c r="J48" s="54"/>
      <c r="K48" s="54"/>
      <c r="L48" s="58">
        <v>1.0</v>
      </c>
    </row>
    <row r="49">
      <c r="B49" s="28"/>
      <c r="C49" s="28"/>
      <c r="D49" s="28"/>
      <c r="E49" s="28"/>
      <c r="F49" s="44"/>
      <c r="H49" s="28"/>
      <c r="I49" s="28"/>
      <c r="J49" s="28"/>
      <c r="K49" s="28"/>
      <c r="L49" s="44"/>
    </row>
    <row r="50">
      <c r="B50" s="21">
        <v>700.0</v>
      </c>
      <c r="C50" s="21">
        <v>22.0</v>
      </c>
      <c r="D50" s="69">
        <v>4.0</v>
      </c>
      <c r="E50" s="69">
        <v>4.0</v>
      </c>
      <c r="F50" s="34"/>
      <c r="H50" s="21">
        <v>999.0</v>
      </c>
      <c r="I50" s="21">
        <v>23.0</v>
      </c>
      <c r="J50" s="69">
        <v>4.0</v>
      </c>
      <c r="K50" s="69">
        <v>4.0</v>
      </c>
      <c r="L50" s="34"/>
    </row>
    <row r="52">
      <c r="A52" s="10" t="s">
        <v>11</v>
      </c>
      <c r="B52" s="21">
        <v>18.0</v>
      </c>
      <c r="C52" s="22"/>
      <c r="D52" s="22"/>
      <c r="E52" s="22"/>
      <c r="F52" s="23">
        <v>127.0</v>
      </c>
      <c r="H52" s="21">
        <v>21.0</v>
      </c>
      <c r="I52" s="22"/>
      <c r="J52" s="22"/>
      <c r="K52" s="22"/>
      <c r="L52" s="23">
        <v>139.0</v>
      </c>
      <c r="N52" s="10" t="s">
        <v>70</v>
      </c>
      <c r="Q52" s="10" t="s">
        <v>70</v>
      </c>
    </row>
    <row r="53">
      <c r="B53" s="27"/>
      <c r="C53" s="28"/>
      <c r="D53" s="27"/>
      <c r="E53" s="27"/>
      <c r="F53" s="29"/>
      <c r="H53" s="27"/>
      <c r="I53" s="28"/>
      <c r="J53" s="27"/>
      <c r="K53" s="27"/>
      <c r="L53" s="29"/>
      <c r="N53" s="10" t="s">
        <v>71</v>
      </c>
      <c r="Q53" s="10" t="s">
        <v>71</v>
      </c>
    </row>
    <row r="54">
      <c r="B54" s="33"/>
      <c r="C54" s="33"/>
      <c r="D54" s="33"/>
      <c r="E54" s="33"/>
      <c r="F54" s="34"/>
      <c r="H54" s="33"/>
      <c r="I54" s="33"/>
      <c r="J54" s="33"/>
      <c r="K54" s="33"/>
      <c r="L54" s="34"/>
      <c r="N54" s="10" t="s">
        <v>72</v>
      </c>
      <c r="Q54" s="10" t="s">
        <v>73</v>
      </c>
    </row>
    <row r="55">
      <c r="B55" s="37">
        <v>17.0</v>
      </c>
      <c r="C55" s="36">
        <v>31.0</v>
      </c>
      <c r="D55" s="37"/>
      <c r="E55" s="37"/>
      <c r="F55" s="29"/>
      <c r="H55" s="36">
        <v>21.0</v>
      </c>
      <c r="I55" s="36">
        <v>40.0</v>
      </c>
      <c r="J55" s="37"/>
      <c r="K55" s="37"/>
      <c r="L55" s="29"/>
      <c r="N55" s="10" t="s">
        <v>74</v>
      </c>
      <c r="Q55" s="10" t="s">
        <v>75</v>
      </c>
    </row>
    <row r="56">
      <c r="B56" s="39">
        <v>23.0</v>
      </c>
      <c r="C56" s="39">
        <v>7.0</v>
      </c>
      <c r="D56" s="40"/>
      <c r="E56" s="40"/>
      <c r="F56" s="41"/>
      <c r="H56" s="39">
        <v>60.0</v>
      </c>
      <c r="I56" s="39">
        <v>8.0</v>
      </c>
      <c r="J56" s="40"/>
      <c r="K56" s="40"/>
      <c r="L56" s="41"/>
      <c r="N56" s="10" t="s">
        <v>76</v>
      </c>
      <c r="Q56" s="10" t="s">
        <v>77</v>
      </c>
    </row>
    <row r="57">
      <c r="B57" s="43">
        <v>8.0</v>
      </c>
      <c r="C57" s="43">
        <v>12.0</v>
      </c>
      <c r="D57" s="28"/>
      <c r="E57" s="27"/>
      <c r="F57" s="44"/>
      <c r="H57" s="43"/>
      <c r="I57" s="43"/>
      <c r="J57" s="28"/>
      <c r="K57" s="27"/>
      <c r="L57" s="44"/>
      <c r="N57" s="10" t="s">
        <v>78</v>
      </c>
      <c r="Q57" s="10" t="s">
        <v>79</v>
      </c>
    </row>
    <row r="58">
      <c r="B58" s="40"/>
      <c r="C58" s="47"/>
      <c r="D58" s="40"/>
      <c r="E58" s="47"/>
      <c r="F58" s="48">
        <v>12.0</v>
      </c>
      <c r="H58" s="40"/>
      <c r="I58" s="47"/>
      <c r="J58" s="40"/>
      <c r="K58" s="47"/>
      <c r="L58" s="48">
        <v>20.0</v>
      </c>
      <c r="N58" s="10" t="s">
        <v>80</v>
      </c>
      <c r="Q58" s="10" t="s">
        <v>81</v>
      </c>
    </row>
    <row r="59">
      <c r="B59" s="27"/>
      <c r="C59" s="28"/>
      <c r="D59" s="27"/>
      <c r="E59" s="28"/>
      <c r="F59" s="49">
        <v>10.0</v>
      </c>
      <c r="H59" s="27"/>
      <c r="I59" s="28"/>
      <c r="J59" s="27"/>
      <c r="K59" s="28"/>
      <c r="L59" s="49">
        <v>20.0</v>
      </c>
      <c r="N59" s="10" t="s">
        <v>82</v>
      </c>
      <c r="Q59" s="10" t="s">
        <v>83</v>
      </c>
    </row>
    <row r="60">
      <c r="B60" s="40"/>
      <c r="C60" s="47"/>
      <c r="D60" s="40"/>
      <c r="E60" s="47"/>
      <c r="F60" s="48">
        <v>15.0</v>
      </c>
      <c r="H60" s="40"/>
      <c r="I60" s="47"/>
      <c r="J60" s="40"/>
      <c r="K60" s="47"/>
      <c r="L60" s="48">
        <v>20.0</v>
      </c>
      <c r="N60" s="10" t="s">
        <v>84</v>
      </c>
      <c r="Q60" s="10" t="s">
        <v>85</v>
      </c>
    </row>
    <row r="61">
      <c r="B61" s="28"/>
      <c r="C61" s="28"/>
      <c r="D61" s="28"/>
      <c r="E61" s="28"/>
      <c r="F61" s="44"/>
      <c r="H61" s="28"/>
      <c r="I61" s="28"/>
      <c r="J61" s="28"/>
      <c r="K61" s="28"/>
      <c r="L61" s="44"/>
      <c r="N61" s="10" t="s">
        <v>86</v>
      </c>
      <c r="Q61" s="10" t="s">
        <v>87</v>
      </c>
    </row>
    <row r="62">
      <c r="B62" s="33"/>
      <c r="C62" s="33"/>
      <c r="D62" s="33"/>
      <c r="E62" s="33"/>
      <c r="F62" s="34"/>
      <c r="H62" s="33"/>
      <c r="I62" s="33"/>
      <c r="J62" s="33"/>
      <c r="K62" s="33"/>
      <c r="L62" s="34"/>
      <c r="N62" s="10" t="s">
        <v>88</v>
      </c>
      <c r="Q62" s="10" t="s">
        <v>89</v>
      </c>
    </row>
    <row r="63">
      <c r="B63" s="27"/>
      <c r="C63" s="37">
        <v>10.0</v>
      </c>
      <c r="D63" s="27"/>
      <c r="E63" s="27"/>
      <c r="F63" s="29"/>
      <c r="H63" s="36">
        <v>15.0</v>
      </c>
      <c r="J63" s="27"/>
      <c r="K63" s="27"/>
      <c r="L63" s="29"/>
      <c r="N63" s="10" t="s">
        <v>90</v>
      </c>
      <c r="Q63" s="10" t="s">
        <v>91</v>
      </c>
    </row>
    <row r="64">
      <c r="B64" s="51">
        <v>2.0</v>
      </c>
      <c r="C64" s="39">
        <v>2.0</v>
      </c>
      <c r="D64" s="40"/>
      <c r="E64" s="47"/>
      <c r="F64" s="41"/>
      <c r="H64" s="51">
        <v>6.0</v>
      </c>
      <c r="I64" s="39">
        <v>6.0</v>
      </c>
      <c r="J64" s="40"/>
      <c r="K64" s="47"/>
      <c r="L64" s="41"/>
      <c r="N64" s="10" t="s">
        <v>92</v>
      </c>
      <c r="Q64" s="10" t="s">
        <v>93</v>
      </c>
    </row>
    <row r="65">
      <c r="B65" s="37">
        <v>6.0</v>
      </c>
      <c r="C65" s="37"/>
      <c r="D65" s="27"/>
      <c r="E65" s="27"/>
      <c r="F65" s="44"/>
      <c r="H65" s="36">
        <v>10.0</v>
      </c>
      <c r="I65" s="36">
        <v>5.0</v>
      </c>
      <c r="J65" s="27"/>
      <c r="K65" s="27"/>
      <c r="L65" s="44"/>
      <c r="N65" s="10" t="s">
        <v>94</v>
      </c>
      <c r="Q65" s="10" t="s">
        <v>94</v>
      </c>
    </row>
    <row r="66">
      <c r="B66" s="54">
        <v>22.0</v>
      </c>
      <c r="C66" s="39">
        <v>23.0</v>
      </c>
      <c r="D66" s="54"/>
      <c r="E66" s="54"/>
      <c r="F66" s="55"/>
      <c r="H66" s="54">
        <v>22.0</v>
      </c>
      <c r="I66" s="39">
        <v>23.0</v>
      </c>
      <c r="J66" s="54"/>
      <c r="K66" s="54"/>
      <c r="L66" s="55"/>
      <c r="N66" s="10" t="s">
        <v>95</v>
      </c>
      <c r="Q66" s="10" t="s">
        <v>95</v>
      </c>
    </row>
    <row r="67">
      <c r="B67" s="27"/>
      <c r="C67" s="27"/>
      <c r="D67" s="27"/>
      <c r="E67" s="27"/>
      <c r="F67" s="44"/>
      <c r="H67" s="27"/>
      <c r="I67" s="43">
        <v>5.0</v>
      </c>
      <c r="J67" s="27"/>
      <c r="K67" s="27"/>
      <c r="L67" s="44"/>
      <c r="N67" s="10" t="s">
        <v>96</v>
      </c>
      <c r="Q67" s="10" t="s">
        <v>97</v>
      </c>
    </row>
    <row r="68">
      <c r="B68" s="54">
        <v>2.0</v>
      </c>
      <c r="C68" s="54">
        <v>2.0</v>
      </c>
      <c r="D68" s="54"/>
      <c r="E68" s="54"/>
      <c r="F68" s="55"/>
      <c r="H68" s="54"/>
      <c r="I68" s="54"/>
      <c r="J68" s="54"/>
      <c r="K68" s="54"/>
      <c r="L68" s="58">
        <v>3.0</v>
      </c>
      <c r="N68" s="10" t="s">
        <v>98</v>
      </c>
      <c r="Q68" s="10" t="s">
        <v>99</v>
      </c>
    </row>
    <row r="69">
      <c r="B69" s="36">
        <v>3.0</v>
      </c>
      <c r="C69" s="36">
        <v>3.0</v>
      </c>
      <c r="D69" s="37"/>
      <c r="E69" s="37"/>
      <c r="F69" s="29"/>
      <c r="H69" s="36">
        <v>8.0</v>
      </c>
      <c r="I69" s="36">
        <v>5.0</v>
      </c>
      <c r="J69" s="37"/>
      <c r="K69" s="37"/>
      <c r="L69" s="29"/>
      <c r="N69" s="10" t="s">
        <v>100</v>
      </c>
      <c r="Q69" s="10" t="s">
        <v>101</v>
      </c>
    </row>
    <row r="70">
      <c r="B70" s="39">
        <v>2.0</v>
      </c>
      <c r="C70" s="39">
        <v>2.0</v>
      </c>
      <c r="D70" s="54"/>
      <c r="E70" s="54"/>
      <c r="F70" s="41"/>
      <c r="H70" s="39">
        <v>5.0</v>
      </c>
      <c r="I70" s="39">
        <v>5.0</v>
      </c>
      <c r="J70" s="54"/>
      <c r="K70" s="54"/>
      <c r="L70" s="41"/>
      <c r="N70" s="10" t="s">
        <v>102</v>
      </c>
      <c r="Q70" s="10" t="s">
        <v>103</v>
      </c>
    </row>
    <row r="71">
      <c r="B71" s="36">
        <v>1.0</v>
      </c>
      <c r="C71" s="36">
        <v>1.0</v>
      </c>
      <c r="D71" s="37"/>
      <c r="E71" s="37"/>
      <c r="F71" s="63"/>
      <c r="H71" s="36">
        <v>3.0</v>
      </c>
      <c r="I71" s="36">
        <v>2.0</v>
      </c>
      <c r="J71" s="37"/>
      <c r="K71" s="37"/>
      <c r="L71" s="63"/>
      <c r="N71" s="10" t="s">
        <v>104</v>
      </c>
      <c r="Q71" s="10" t="s">
        <v>104</v>
      </c>
    </row>
    <row r="72">
      <c r="B72" s="54">
        <v>3.0</v>
      </c>
      <c r="C72" s="54">
        <v>3.0</v>
      </c>
      <c r="D72" s="54"/>
      <c r="E72" s="54"/>
      <c r="F72" s="58">
        <v>1.0</v>
      </c>
      <c r="H72" s="54">
        <v>3.0</v>
      </c>
      <c r="I72" s="54">
        <v>3.0</v>
      </c>
      <c r="J72" s="54"/>
      <c r="K72" s="54"/>
      <c r="L72" s="58">
        <v>1.0</v>
      </c>
      <c r="N72" s="10" t="s">
        <v>105</v>
      </c>
      <c r="Q72" s="10" t="s">
        <v>106</v>
      </c>
    </row>
    <row r="73">
      <c r="B73" s="28"/>
      <c r="C73" s="28"/>
      <c r="D73" s="28"/>
      <c r="E73" s="28"/>
      <c r="F73" s="44"/>
      <c r="H73" s="28"/>
      <c r="I73" s="28"/>
      <c r="J73" s="28"/>
      <c r="K73" s="28"/>
      <c r="L73" s="44"/>
    </row>
    <row r="74">
      <c r="B74" s="21">
        <v>700.0</v>
      </c>
      <c r="C74" s="21">
        <v>22.0</v>
      </c>
      <c r="D74" s="69">
        <v>4.0</v>
      </c>
      <c r="E74" s="69">
        <v>4.0</v>
      </c>
      <c r="F74" s="34"/>
      <c r="H74" s="21">
        <v>999.0</v>
      </c>
      <c r="I74" s="21">
        <v>23.0</v>
      </c>
      <c r="J74" s="69">
        <v>4.0</v>
      </c>
      <c r="K74" s="69">
        <v>4.0</v>
      </c>
      <c r="L74" s="34"/>
    </row>
    <row r="76">
      <c r="B76" s="21"/>
      <c r="C76" s="22"/>
      <c r="D76" s="22"/>
      <c r="E76" s="22"/>
      <c r="F76" s="23"/>
      <c r="H76" s="21"/>
      <c r="I76" s="22"/>
      <c r="J76" s="22"/>
      <c r="K76" s="22"/>
      <c r="L76" s="23"/>
    </row>
    <row r="77">
      <c r="B77" s="27"/>
      <c r="C77" s="28"/>
      <c r="D77" s="27"/>
      <c r="E77" s="27"/>
      <c r="F77" s="29"/>
      <c r="H77" s="27"/>
      <c r="I77" s="28"/>
      <c r="J77" s="27"/>
      <c r="K77" s="27"/>
      <c r="L77" s="29"/>
    </row>
    <row r="78">
      <c r="B78" s="33"/>
      <c r="C78" s="33"/>
      <c r="D78" s="33"/>
      <c r="E78" s="33"/>
      <c r="F78" s="34"/>
      <c r="H78" s="33"/>
      <c r="I78" s="33"/>
      <c r="J78" s="33"/>
      <c r="K78" s="33"/>
      <c r="L78" s="34"/>
    </row>
    <row r="79">
      <c r="B79" s="37"/>
      <c r="C79" s="36"/>
      <c r="D79" s="37"/>
      <c r="E79" s="37"/>
      <c r="F79" s="29"/>
      <c r="H79" s="37"/>
      <c r="I79" s="36"/>
      <c r="J79" s="37"/>
      <c r="K79" s="37"/>
      <c r="L79" s="29"/>
    </row>
    <row r="80">
      <c r="B80" s="39"/>
      <c r="C80" s="39"/>
      <c r="D80" s="40"/>
      <c r="E80" s="40"/>
      <c r="F80" s="41"/>
      <c r="H80" s="39"/>
      <c r="I80" s="39"/>
      <c r="J80" s="40"/>
      <c r="K80" s="40"/>
      <c r="L80" s="41"/>
    </row>
    <row r="81">
      <c r="B81" s="43"/>
      <c r="C81" s="43"/>
      <c r="D81" s="28"/>
      <c r="E81" s="27"/>
      <c r="F81" s="44"/>
      <c r="H81" s="43"/>
      <c r="I81" s="43"/>
      <c r="J81" s="28"/>
      <c r="K81" s="27"/>
      <c r="L81" s="44"/>
    </row>
    <row r="82">
      <c r="B82" s="40"/>
      <c r="C82" s="47"/>
      <c r="D82" s="40"/>
      <c r="E82" s="47"/>
      <c r="F82" s="48"/>
      <c r="H82" s="40"/>
      <c r="I82" s="47"/>
      <c r="J82" s="40"/>
      <c r="K82" s="47"/>
      <c r="L82" s="48"/>
    </row>
    <row r="83">
      <c r="B83" s="27"/>
      <c r="C83" s="28"/>
      <c r="D83" s="27"/>
      <c r="E83" s="28"/>
      <c r="F83" s="49"/>
      <c r="H83" s="27"/>
      <c r="I83" s="28"/>
      <c r="J83" s="27"/>
      <c r="K83" s="28"/>
      <c r="L83" s="49"/>
    </row>
    <row r="84">
      <c r="B84" s="40"/>
      <c r="C84" s="47"/>
      <c r="D84" s="40"/>
      <c r="E84" s="47"/>
      <c r="F84" s="48"/>
      <c r="H84" s="40"/>
      <c r="I84" s="47"/>
      <c r="J84" s="40"/>
      <c r="K84" s="47"/>
      <c r="L84" s="48"/>
    </row>
    <row r="85">
      <c r="B85" s="28"/>
      <c r="C85" s="28"/>
      <c r="D85" s="28"/>
      <c r="E85" s="28"/>
      <c r="F85" s="44"/>
      <c r="H85" s="28"/>
      <c r="I85" s="28"/>
      <c r="J85" s="28"/>
      <c r="K85" s="28"/>
      <c r="L85" s="44"/>
    </row>
    <row r="86">
      <c r="B86" s="33"/>
      <c r="C86" s="33"/>
      <c r="D86" s="33"/>
      <c r="E86" s="33"/>
      <c r="F86" s="34"/>
      <c r="H86" s="33"/>
      <c r="I86" s="33"/>
      <c r="J86" s="33"/>
      <c r="K86" s="33"/>
      <c r="L86" s="34"/>
    </row>
    <row r="87">
      <c r="B87" s="27"/>
      <c r="C87" s="37"/>
      <c r="D87" s="27"/>
      <c r="E87" s="27"/>
      <c r="F87" s="29"/>
      <c r="H87" s="27"/>
      <c r="I87" s="37"/>
      <c r="J87" s="27"/>
      <c r="K87" s="27"/>
      <c r="L87" s="29"/>
    </row>
    <row r="88">
      <c r="B88" s="51"/>
      <c r="C88" s="39"/>
      <c r="D88" s="40"/>
      <c r="E88" s="47"/>
      <c r="F88" s="41"/>
      <c r="H88" s="51"/>
      <c r="I88" s="39"/>
      <c r="J88" s="40"/>
      <c r="K88" s="47"/>
      <c r="L88" s="41"/>
    </row>
    <row r="89">
      <c r="B89" s="37"/>
      <c r="C89" s="37"/>
      <c r="D89" s="27"/>
      <c r="E89" s="27"/>
      <c r="F89" s="44"/>
      <c r="H89" s="37"/>
      <c r="I89" s="37"/>
      <c r="J89" s="27"/>
      <c r="K89" s="27"/>
      <c r="L89" s="44"/>
    </row>
    <row r="90">
      <c r="B90" s="54"/>
      <c r="C90" s="39"/>
      <c r="D90" s="54"/>
      <c r="E90" s="54"/>
      <c r="F90" s="55"/>
      <c r="H90" s="54"/>
      <c r="I90" s="39"/>
      <c r="J90" s="54"/>
      <c r="K90" s="54"/>
      <c r="L90" s="55"/>
    </row>
    <row r="91">
      <c r="B91" s="27"/>
      <c r="C91" s="27"/>
      <c r="D91" s="27"/>
      <c r="E91" s="27"/>
      <c r="F91" s="44"/>
      <c r="H91" s="27"/>
      <c r="I91" s="27"/>
      <c r="J91" s="27"/>
      <c r="K91" s="27"/>
      <c r="L91" s="44"/>
    </row>
    <row r="92">
      <c r="B92" s="54"/>
      <c r="C92" s="54"/>
      <c r="D92" s="54"/>
      <c r="E92" s="54"/>
      <c r="F92" s="55"/>
      <c r="H92" s="54"/>
      <c r="I92" s="54"/>
      <c r="J92" s="54"/>
      <c r="K92" s="54"/>
      <c r="L92" s="55"/>
    </row>
    <row r="93">
      <c r="B93" s="36"/>
      <c r="C93" s="36"/>
      <c r="D93" s="37"/>
      <c r="E93" s="37"/>
      <c r="F93" s="29"/>
      <c r="H93" s="36"/>
      <c r="I93" s="36"/>
      <c r="J93" s="37"/>
      <c r="K93" s="37"/>
      <c r="L93" s="29"/>
    </row>
    <row r="94">
      <c r="B94" s="39"/>
      <c r="C94" s="39"/>
      <c r="D94" s="54"/>
      <c r="E94" s="54"/>
      <c r="F94" s="41"/>
      <c r="H94" s="39"/>
      <c r="I94" s="39"/>
      <c r="J94" s="54"/>
      <c r="K94" s="54"/>
      <c r="L94" s="41"/>
    </row>
    <row r="95">
      <c r="B95" s="36"/>
      <c r="C95" s="36"/>
      <c r="D95" s="37"/>
      <c r="E95" s="37"/>
      <c r="F95" s="63"/>
      <c r="H95" s="36"/>
      <c r="I95" s="36"/>
      <c r="J95" s="37"/>
      <c r="K95" s="37"/>
      <c r="L95" s="63"/>
    </row>
    <row r="96">
      <c r="B96" s="54"/>
      <c r="C96" s="54"/>
      <c r="D96" s="54"/>
      <c r="E96" s="54"/>
      <c r="F96" s="58"/>
      <c r="H96" s="54"/>
      <c r="I96" s="54"/>
      <c r="J96" s="54"/>
      <c r="K96" s="54"/>
      <c r="L96" s="58"/>
    </row>
    <row r="97">
      <c r="B97" s="28"/>
      <c r="C97" s="28"/>
      <c r="D97" s="28"/>
      <c r="E97" s="28"/>
      <c r="F97" s="44"/>
      <c r="H97" s="28"/>
      <c r="I97" s="28"/>
      <c r="J97" s="28"/>
      <c r="K97" s="28"/>
      <c r="L97" s="44"/>
    </row>
    <row r="98">
      <c r="B98" s="21"/>
      <c r="C98" s="21"/>
      <c r="D98" s="69"/>
      <c r="E98" s="69"/>
      <c r="F98" s="34"/>
      <c r="H98" s="21"/>
      <c r="I98" s="21"/>
      <c r="J98" s="69"/>
      <c r="K98" s="69"/>
      <c r="L98" s="3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3" max="3" width="16.88"/>
    <col customWidth="1" min="5" max="5" width="19.63"/>
    <col customWidth="1" min="6" max="6" width="17.63"/>
  </cols>
  <sheetData>
    <row r="1">
      <c r="A1" s="10" t="s">
        <v>107</v>
      </c>
      <c r="B1" s="61">
        <v>200.0</v>
      </c>
      <c r="C1" s="10" t="s">
        <v>108</v>
      </c>
      <c r="E1" s="10" t="s">
        <v>109</v>
      </c>
      <c r="F1" s="10">
        <v>120.0</v>
      </c>
      <c r="G1" s="10" t="s">
        <v>110</v>
      </c>
      <c r="J1" s="18" t="s">
        <v>111</v>
      </c>
      <c r="K1" s="85"/>
      <c r="L1" s="85"/>
      <c r="M1" s="85"/>
    </row>
    <row r="2">
      <c r="A2" s="10" t="s">
        <v>112</v>
      </c>
      <c r="B2" s="61">
        <v>7000.0</v>
      </c>
      <c r="E2" s="10" t="s">
        <v>113</v>
      </c>
      <c r="F2" s="86">
        <f>F1/60*B1/10</f>
        <v>40</v>
      </c>
      <c r="G2" s="10" t="s">
        <v>110</v>
      </c>
      <c r="J2" s="18" t="s">
        <v>114</v>
      </c>
      <c r="K2" s="85"/>
      <c r="L2" s="85"/>
      <c r="M2" s="85"/>
    </row>
    <row r="3">
      <c r="A3" s="10" t="s">
        <v>115</v>
      </c>
      <c r="B3" s="87">
        <f>B1*B2</f>
        <v>1400000</v>
      </c>
      <c r="E3" s="88" t="s">
        <v>116</v>
      </c>
      <c r="J3" s="18" t="s">
        <v>117</v>
      </c>
      <c r="K3" s="85"/>
      <c r="L3" s="85"/>
      <c r="M3" s="85"/>
    </row>
    <row r="4">
      <c r="C4" s="10" t="s">
        <v>118</v>
      </c>
      <c r="D4">
        <f>IF($B$2&gt;1000,$B$2/($B$2+5250),($B$2*0.82+28)/5300)</f>
        <v>0.5714285714</v>
      </c>
      <c r="J4" s="85"/>
      <c r="K4" s="85"/>
      <c r="L4" s="85"/>
      <c r="M4" s="85"/>
    </row>
    <row r="5">
      <c r="C5" s="10" t="s">
        <v>119</v>
      </c>
      <c r="D5">
        <f>ROUNDDOWN(50000*0.75*$D$4,0)</f>
        <v>21428</v>
      </c>
      <c r="J5" s="89"/>
      <c r="K5" s="85"/>
      <c r="L5" s="85"/>
      <c r="M5" s="85"/>
    </row>
    <row r="6">
      <c r="C6" s="10" t="s">
        <v>120</v>
      </c>
      <c r="D6">
        <f>D5*2</f>
        <v>42856</v>
      </c>
      <c r="J6" s="90" t="s">
        <v>121</v>
      </c>
      <c r="K6" s="85"/>
      <c r="L6" s="85"/>
      <c r="M6" s="85"/>
      <c r="N6" s="10" t="s">
        <v>122</v>
      </c>
    </row>
    <row r="7">
      <c r="C7" s="10" t="s">
        <v>123</v>
      </c>
      <c r="D7" s="87">
        <f>D6*B1/60</f>
        <v>142853.3333</v>
      </c>
      <c r="J7" s="90" t="s">
        <v>124</v>
      </c>
      <c r="K7" s="85"/>
      <c r="L7" s="85"/>
      <c r="M7" s="85"/>
    </row>
    <row r="8">
      <c r="A8" s="88" t="s">
        <v>125</v>
      </c>
      <c r="C8" s="91"/>
    </row>
    <row r="12">
      <c r="A12" s="92">
        <v>500.0</v>
      </c>
      <c r="B12" s="93">
        <v>0.08264150943396227</v>
      </c>
      <c r="C12" s="93">
        <v>3099.0566037735853</v>
      </c>
    </row>
    <row r="13">
      <c r="A13" s="92">
        <v>1000.0</v>
      </c>
      <c r="B13" s="93">
        <v>0.16</v>
      </c>
      <c r="C13" s="93">
        <v>6000.0</v>
      </c>
    </row>
    <row r="14">
      <c r="A14" s="92">
        <v>1500.0</v>
      </c>
      <c r="B14" s="93">
        <v>0.2222222222222222</v>
      </c>
      <c r="C14" s="93">
        <v>8333.333333333332</v>
      </c>
    </row>
    <row r="15">
      <c r="A15" s="94">
        <v>2000.0</v>
      </c>
      <c r="B15" s="93">
        <v>0.27586206896551724</v>
      </c>
      <c r="C15" s="93">
        <v>10344.827586206897</v>
      </c>
    </row>
    <row r="16">
      <c r="A16" s="92">
        <v>2500.0</v>
      </c>
      <c r="B16" s="93">
        <v>0.3225806451612903</v>
      </c>
      <c r="C16" s="93">
        <v>12096.774193548386</v>
      </c>
    </row>
    <row r="17">
      <c r="A17" s="92">
        <v>3000.0</v>
      </c>
      <c r="B17" s="93">
        <v>0.36363636363636365</v>
      </c>
      <c r="C17" s="93">
        <v>13636.363636363636</v>
      </c>
    </row>
    <row r="18">
      <c r="A18" s="92">
        <v>3500.0</v>
      </c>
      <c r="B18" s="93">
        <v>0.4</v>
      </c>
      <c r="C18" s="93">
        <v>15000.0</v>
      </c>
      <c r="H18" s="95"/>
      <c r="I18" s="93"/>
      <c r="J18" s="93"/>
    </row>
    <row r="19">
      <c r="A19" s="94">
        <v>4000.0</v>
      </c>
      <c r="B19" s="93">
        <v>0.43243243243243246</v>
      </c>
      <c r="C19" s="93">
        <v>16216.216216216217</v>
      </c>
      <c r="H19" s="95"/>
      <c r="I19" s="93"/>
      <c r="J19" s="93"/>
    </row>
    <row r="20">
      <c r="A20" s="92">
        <v>4500.0</v>
      </c>
      <c r="B20" s="93">
        <v>0.46153846153846156</v>
      </c>
      <c r="C20" s="93">
        <v>17307.69230769231</v>
      </c>
      <c r="H20" s="95"/>
      <c r="I20" s="93"/>
      <c r="J20" s="93"/>
    </row>
    <row r="21">
      <c r="A21" s="92">
        <v>5000.0</v>
      </c>
      <c r="B21" s="93">
        <v>0.4878048780487805</v>
      </c>
      <c r="C21" s="93">
        <v>18292.682926829268</v>
      </c>
      <c r="H21" s="96"/>
      <c r="I21" s="93"/>
      <c r="J21" s="93"/>
    </row>
    <row r="22">
      <c r="A22" s="92">
        <v>5500.0</v>
      </c>
      <c r="B22" s="93">
        <v>0.5116279069767442</v>
      </c>
      <c r="C22" s="93">
        <v>19186.04651162791</v>
      </c>
      <c r="H22" s="95"/>
      <c r="I22" s="93"/>
      <c r="J22" s="93"/>
    </row>
    <row r="23">
      <c r="A23" s="94">
        <v>6000.0</v>
      </c>
      <c r="B23" s="93">
        <v>0.5333333333333333</v>
      </c>
      <c r="C23" s="93">
        <v>20000.0</v>
      </c>
      <c r="H23" s="95"/>
      <c r="I23" s="93"/>
      <c r="J23" s="93"/>
    </row>
    <row r="24">
      <c r="A24" s="92">
        <v>6500.0</v>
      </c>
      <c r="B24" s="93">
        <v>0.5531914893617021</v>
      </c>
      <c r="C24" s="93">
        <v>20744.68085106383</v>
      </c>
      <c r="H24" s="95"/>
      <c r="I24" s="93"/>
      <c r="J24" s="93"/>
    </row>
    <row r="25">
      <c r="A25" s="92">
        <v>7000.0</v>
      </c>
      <c r="B25" s="93">
        <v>0.5714285714285714</v>
      </c>
      <c r="C25" s="93">
        <v>21428.571428571428</v>
      </c>
      <c r="H25" s="96"/>
      <c r="I25" s="93"/>
      <c r="J25" s="93"/>
    </row>
    <row r="26">
      <c r="A26" s="92">
        <v>7500.0</v>
      </c>
      <c r="B26" s="93">
        <v>0.5882352941176471</v>
      </c>
      <c r="C26" s="93">
        <v>22058.823529411766</v>
      </c>
      <c r="H26" s="95"/>
      <c r="I26" s="93"/>
      <c r="J26" s="93"/>
    </row>
    <row r="27">
      <c r="A27" s="94">
        <v>8000.0</v>
      </c>
      <c r="B27" s="93">
        <v>0.6037735849056604</v>
      </c>
      <c r="C27" s="93">
        <v>22641.509433962263</v>
      </c>
      <c r="H27" s="95"/>
      <c r="I27" s="93"/>
      <c r="J27" s="93"/>
    </row>
    <row r="28">
      <c r="A28" s="92">
        <v>8500.0</v>
      </c>
      <c r="B28" s="93">
        <v>0.6181818181818182</v>
      </c>
      <c r="C28" s="93">
        <v>23181.81818181818</v>
      </c>
      <c r="H28" s="95"/>
      <c r="I28" s="93"/>
      <c r="J28" s="93"/>
    </row>
    <row r="29">
      <c r="A29" s="92">
        <v>9000.0</v>
      </c>
      <c r="B29" s="93">
        <v>0.631578947368421</v>
      </c>
      <c r="C29" s="93">
        <v>23684.210526315786</v>
      </c>
      <c r="H29" s="96"/>
      <c r="I29" s="93"/>
      <c r="J29" s="93"/>
    </row>
    <row r="30">
      <c r="A30" s="92">
        <v>9500.0</v>
      </c>
      <c r="B30" s="93">
        <v>0.6440677966101694</v>
      </c>
      <c r="C30" s="93">
        <v>24152.542372881355</v>
      </c>
      <c r="H30" s="95"/>
      <c r="I30" s="93"/>
      <c r="J30" s="93"/>
    </row>
    <row r="31">
      <c r="A31" s="94">
        <v>10000.0</v>
      </c>
      <c r="B31" s="93">
        <v>0.6557377049180327</v>
      </c>
      <c r="C31" s="93">
        <v>24590.16393442623</v>
      </c>
      <c r="H31" s="95"/>
      <c r="I31" s="93"/>
      <c r="J31" s="93"/>
    </row>
    <row r="32">
      <c r="A32" s="92">
        <v>10500.0</v>
      </c>
      <c r="B32" s="93">
        <v>0.6666666666666666</v>
      </c>
      <c r="C32" s="93">
        <v>25000.0</v>
      </c>
      <c r="H32" s="95"/>
      <c r="I32" s="93"/>
      <c r="J32" s="93"/>
    </row>
    <row r="33">
      <c r="A33" s="92">
        <v>11000.0</v>
      </c>
      <c r="B33" s="93">
        <v>0.676923076923077</v>
      </c>
      <c r="C33" s="93">
        <v>25384.615384615387</v>
      </c>
      <c r="H33" s="96"/>
      <c r="I33" s="93"/>
      <c r="J33" s="93"/>
    </row>
    <row r="34">
      <c r="A34" s="92">
        <v>11500.0</v>
      </c>
      <c r="B34" s="93">
        <v>0.6865671641791045</v>
      </c>
      <c r="C34" s="93">
        <v>25746.268656716416</v>
      </c>
      <c r="H34" s="95"/>
      <c r="I34" s="93"/>
      <c r="J34" s="93"/>
    </row>
    <row r="35">
      <c r="A35" s="92">
        <v>12000.0</v>
      </c>
      <c r="B35" s="93">
        <v>0.6956521739130435</v>
      </c>
      <c r="C35" s="93">
        <v>26086.95652173913</v>
      </c>
      <c r="H35" s="95"/>
      <c r="I35" s="93"/>
      <c r="J35" s="93"/>
    </row>
    <row r="36">
      <c r="A36" s="92">
        <v>12500.0</v>
      </c>
      <c r="B36" s="93">
        <v>0.704225352112676</v>
      </c>
      <c r="C36" s="93">
        <v>26408.45070422535</v>
      </c>
      <c r="H36" s="95"/>
      <c r="I36" s="93"/>
      <c r="J36" s="93"/>
    </row>
    <row r="37">
      <c r="A37" s="94">
        <v>13000.0</v>
      </c>
      <c r="B37" s="93">
        <v>0.7123287671232876</v>
      </c>
      <c r="C37" s="93">
        <v>26712.328767123287</v>
      </c>
      <c r="H37" s="96"/>
      <c r="I37" s="93"/>
      <c r="J37" s="93"/>
    </row>
    <row r="38">
      <c r="A38" s="92">
        <v>13500.0</v>
      </c>
      <c r="B38" s="93">
        <v>0.72</v>
      </c>
      <c r="C38" s="93">
        <v>27000.0</v>
      </c>
      <c r="H38" s="95"/>
      <c r="I38" s="93"/>
      <c r="J38" s="93"/>
    </row>
    <row r="39">
      <c r="A39" s="92">
        <v>14000.0</v>
      </c>
      <c r="B39" s="93">
        <v>0.7272727272727273</v>
      </c>
      <c r="C39" s="93">
        <v>27272.727272727272</v>
      </c>
      <c r="H39" s="95"/>
      <c r="I39" s="93"/>
      <c r="J39" s="93"/>
    </row>
    <row r="40">
      <c r="A40" s="92">
        <v>14500.0</v>
      </c>
      <c r="B40" s="93">
        <v>0.7341772151898734</v>
      </c>
      <c r="C40" s="93">
        <v>27531.645569620254</v>
      </c>
      <c r="H40" s="95"/>
      <c r="I40" s="93"/>
      <c r="J40" s="93"/>
    </row>
    <row r="41">
      <c r="A41" s="94">
        <v>15000.0</v>
      </c>
      <c r="B41" s="93">
        <v>0.7407407407407407</v>
      </c>
      <c r="C41" s="93">
        <v>27777.777777777777</v>
      </c>
      <c r="H41" s="95"/>
      <c r="I41" s="93"/>
      <c r="J41" s="93"/>
    </row>
    <row r="42">
      <c r="A42" s="92">
        <v>15500.0</v>
      </c>
      <c r="B42" s="93">
        <v>0.7469879518072289</v>
      </c>
      <c r="C42" s="93">
        <v>28012.048192771083</v>
      </c>
      <c r="H42" s="95"/>
      <c r="I42" s="93"/>
      <c r="J42" s="93"/>
    </row>
    <row r="43">
      <c r="A43" s="92">
        <v>16000.0</v>
      </c>
      <c r="B43" s="93">
        <v>0.7529411764705882</v>
      </c>
      <c r="C43" s="93">
        <v>28235.29411764706</v>
      </c>
      <c r="H43" s="96"/>
      <c r="I43" s="93"/>
      <c r="J43" s="93"/>
    </row>
    <row r="44">
      <c r="A44" s="92">
        <v>16500.0</v>
      </c>
      <c r="B44" s="93">
        <v>0.7586206896551724</v>
      </c>
      <c r="C44" s="93">
        <v>28448.275862068964</v>
      </c>
      <c r="H44" s="95"/>
      <c r="I44" s="93"/>
      <c r="J44" s="93"/>
    </row>
    <row r="45">
      <c r="A45" s="94">
        <v>17000.0</v>
      </c>
      <c r="B45" s="93">
        <v>0.7640449438202247</v>
      </c>
      <c r="C45" s="93">
        <v>28651.685393258427</v>
      </c>
      <c r="H45" s="95"/>
      <c r="I45" s="93"/>
      <c r="J45" s="93"/>
    </row>
    <row r="46">
      <c r="A46" s="92">
        <v>17500.0</v>
      </c>
      <c r="B46" s="93">
        <v>0.7692307692307693</v>
      </c>
      <c r="C46" s="93">
        <v>28846.153846153848</v>
      </c>
      <c r="H46" s="95"/>
      <c r="I46" s="93"/>
      <c r="J46" s="93"/>
    </row>
    <row r="47">
      <c r="A47" s="92">
        <v>18000.0</v>
      </c>
      <c r="B47" s="93">
        <v>0.7741935483870968</v>
      </c>
      <c r="C47" s="93">
        <v>29032.25806451613</v>
      </c>
      <c r="H47" s="96"/>
      <c r="I47" s="93"/>
      <c r="J47" s="93"/>
    </row>
    <row r="48">
      <c r="A48" s="92">
        <v>18500.0</v>
      </c>
      <c r="B48" s="93">
        <v>0.7789473684210526</v>
      </c>
      <c r="C48" s="93">
        <v>29210.526315789473</v>
      </c>
      <c r="H48" s="95"/>
      <c r="I48" s="93"/>
      <c r="J48" s="93"/>
    </row>
    <row r="49">
      <c r="A49" s="94">
        <v>19000.0</v>
      </c>
      <c r="B49" s="93">
        <v>0.7835051546391752</v>
      </c>
      <c r="C49" s="93">
        <v>29381.443298969072</v>
      </c>
      <c r="H49" s="95"/>
      <c r="I49" s="93"/>
      <c r="J49" s="93"/>
    </row>
    <row r="50">
      <c r="A50" s="92">
        <v>19500.0</v>
      </c>
      <c r="B50" s="93">
        <v>0.7878787878787878</v>
      </c>
      <c r="C50" s="93">
        <v>29545.454545454544</v>
      </c>
      <c r="H50" s="95"/>
      <c r="I50" s="93"/>
      <c r="J50" s="93"/>
    </row>
    <row r="51">
      <c r="A51" s="92">
        <v>20000.0</v>
      </c>
      <c r="B51" s="93">
        <v>0.7920792079207921</v>
      </c>
      <c r="C51" s="93">
        <v>29702.970297029704</v>
      </c>
      <c r="H51" s="96"/>
      <c r="I51" s="93"/>
      <c r="J51" s="93"/>
    </row>
    <row r="52">
      <c r="A52" s="92">
        <v>20500.0</v>
      </c>
      <c r="B52" s="93">
        <v>0.7961165048543689</v>
      </c>
      <c r="C52" s="93">
        <v>29854.368932038833</v>
      </c>
      <c r="H52" s="95"/>
      <c r="I52" s="93"/>
      <c r="J52" s="93"/>
    </row>
    <row r="53">
      <c r="A53" s="94">
        <v>21000.0</v>
      </c>
      <c r="B53" s="93">
        <v>0.8</v>
      </c>
      <c r="C53" s="93">
        <v>30000.0</v>
      </c>
      <c r="H53" s="95"/>
      <c r="I53" s="93"/>
      <c r="J53" s="93"/>
    </row>
    <row r="54">
      <c r="A54" s="92">
        <v>21500.0</v>
      </c>
      <c r="B54" s="93">
        <v>0.8037383177570093</v>
      </c>
      <c r="C54" s="93">
        <v>30140.18691588785</v>
      </c>
      <c r="H54" s="95"/>
      <c r="I54" s="93"/>
      <c r="J54" s="93"/>
    </row>
    <row r="55">
      <c r="A55" s="92">
        <v>22000.0</v>
      </c>
      <c r="B55" s="93">
        <v>0.8073394495412844</v>
      </c>
      <c r="C55" s="93">
        <v>30275.229357798165</v>
      </c>
      <c r="H55" s="96"/>
      <c r="I55" s="93"/>
      <c r="J55" s="93"/>
    </row>
    <row r="56">
      <c r="A56" s="92">
        <v>22500.0</v>
      </c>
      <c r="B56" s="93">
        <v>0.8108108108108109</v>
      </c>
      <c r="C56" s="93">
        <v>30405.405405405407</v>
      </c>
      <c r="H56" s="95"/>
      <c r="I56" s="93"/>
      <c r="J56" s="93"/>
    </row>
    <row r="57">
      <c r="A57" s="92">
        <v>23000.0</v>
      </c>
      <c r="B57" s="93">
        <v>0.8141592920353983</v>
      </c>
      <c r="C57" s="93">
        <v>30530.973451327434</v>
      </c>
      <c r="H57" s="95"/>
      <c r="I57" s="93"/>
      <c r="J57" s="93"/>
    </row>
    <row r="58">
      <c r="A58" s="92">
        <v>23500.0</v>
      </c>
      <c r="B58" s="93">
        <v>0.8173913043478261</v>
      </c>
      <c r="C58" s="93">
        <v>30652.17391304348</v>
      </c>
      <c r="H58" s="95"/>
      <c r="I58" s="93"/>
      <c r="J58" s="93"/>
    </row>
    <row r="59">
      <c r="A59" s="94">
        <v>24000.0</v>
      </c>
      <c r="B59" s="93">
        <v>0.8205128205128205</v>
      </c>
      <c r="C59" s="93">
        <v>30769.23076923077</v>
      </c>
      <c r="H59" s="96"/>
      <c r="I59" s="93"/>
      <c r="J59" s="93"/>
    </row>
    <row r="60">
      <c r="A60" s="92">
        <v>24500.0</v>
      </c>
      <c r="B60" s="93">
        <v>0.8235294117647058</v>
      </c>
      <c r="C60" s="93">
        <v>30882.35294117647</v>
      </c>
      <c r="H60" s="95"/>
      <c r="I60" s="93"/>
      <c r="J60" s="93"/>
    </row>
    <row r="61">
      <c r="A61" s="92">
        <v>25000.0</v>
      </c>
      <c r="B61" s="93">
        <v>0.8264462809917356</v>
      </c>
      <c r="C61" s="93">
        <v>30991.735537190085</v>
      </c>
      <c r="H61" s="95"/>
      <c r="I61" s="93"/>
      <c r="J61" s="93"/>
    </row>
    <row r="62">
      <c r="A62" s="92">
        <v>25500.0</v>
      </c>
      <c r="B62" s="93">
        <v>0.8292682926829268</v>
      </c>
      <c r="C62" s="93">
        <v>31097.560975609755</v>
      </c>
      <c r="H62" s="95"/>
      <c r="I62" s="93"/>
      <c r="J62" s="93"/>
    </row>
    <row r="63">
      <c r="A63" s="94">
        <v>26000.0</v>
      </c>
      <c r="B63" s="93">
        <v>0.832</v>
      </c>
      <c r="C63" s="93">
        <v>31200.0</v>
      </c>
      <c r="H63" s="95"/>
      <c r="I63" s="93"/>
      <c r="J63" s="93"/>
    </row>
    <row r="64">
      <c r="A64" s="92">
        <v>26500.0</v>
      </c>
      <c r="B64" s="93">
        <v>0.8346456692913385</v>
      </c>
      <c r="C64" s="93">
        <v>31299.212598425194</v>
      </c>
      <c r="H64" s="95"/>
      <c r="I64" s="93"/>
      <c r="J64" s="93"/>
    </row>
    <row r="65">
      <c r="A65" s="92">
        <v>27000.0</v>
      </c>
      <c r="B65" s="93">
        <v>0.8372093023255814</v>
      </c>
      <c r="C65" s="93">
        <v>31395.348837209305</v>
      </c>
      <c r="H65" s="96"/>
      <c r="I65" s="93"/>
      <c r="J65" s="93"/>
    </row>
    <row r="66">
      <c r="A66" s="92">
        <v>27500.0</v>
      </c>
      <c r="B66" s="93">
        <v>0.8396946564885496</v>
      </c>
      <c r="C66" s="93">
        <v>31488.54961832061</v>
      </c>
      <c r="H66" s="95"/>
      <c r="I66" s="93"/>
      <c r="J66" s="93"/>
    </row>
    <row r="67">
      <c r="A67" s="94">
        <v>28000.0</v>
      </c>
      <c r="B67" s="93">
        <v>0.8421052631578947</v>
      </c>
      <c r="C67" s="93">
        <v>31578.94736842105</v>
      </c>
      <c r="H67" s="95"/>
      <c r="I67" s="93"/>
      <c r="J67" s="93"/>
    </row>
    <row r="68">
      <c r="A68" s="92">
        <v>28500.0</v>
      </c>
      <c r="B68" s="93">
        <v>0.8444444444444444</v>
      </c>
      <c r="C68" s="93">
        <v>31666.666666666668</v>
      </c>
      <c r="H68" s="95"/>
      <c r="I68" s="93"/>
      <c r="J68" s="93"/>
    </row>
    <row r="69">
      <c r="A69" s="92">
        <v>29000.0</v>
      </c>
      <c r="B69" s="93">
        <v>0.8467153284671532</v>
      </c>
      <c r="C69" s="93">
        <v>31751.824817518245</v>
      </c>
      <c r="H69" s="96"/>
      <c r="I69" s="93"/>
      <c r="J69" s="93"/>
    </row>
    <row r="70">
      <c r="A70" s="92">
        <v>29500.0</v>
      </c>
      <c r="B70" s="93">
        <v>0.8489208633093526</v>
      </c>
      <c r="C70" s="93">
        <v>31834.53237410072</v>
      </c>
      <c r="H70" s="95"/>
      <c r="I70" s="93"/>
      <c r="J70" s="93"/>
    </row>
    <row r="71">
      <c r="A71" s="94">
        <v>30000.0</v>
      </c>
      <c r="B71" s="93">
        <v>0.851063829787234</v>
      </c>
      <c r="C71" s="93">
        <v>31914.893617021276</v>
      </c>
      <c r="H71" s="95"/>
      <c r="I71" s="93"/>
      <c r="J71" s="93"/>
    </row>
    <row r="72">
      <c r="A72" s="92">
        <v>30500.0</v>
      </c>
      <c r="B72" s="93">
        <v>0.8531468531468531</v>
      </c>
      <c r="C72" s="93">
        <v>31993.00699300699</v>
      </c>
      <c r="H72" s="95"/>
      <c r="I72" s="93"/>
      <c r="J72" s="93"/>
    </row>
    <row r="73">
      <c r="A73" s="92">
        <v>31000.0</v>
      </c>
      <c r="B73" s="93">
        <v>0.8551724137931035</v>
      </c>
      <c r="C73" s="93">
        <v>32068.96551724138</v>
      </c>
      <c r="H73" s="96"/>
      <c r="I73" s="93"/>
      <c r="J73" s="93"/>
    </row>
    <row r="74">
      <c r="A74" s="92">
        <v>31500.0</v>
      </c>
      <c r="B74" s="93">
        <v>0.8571428571428571</v>
      </c>
      <c r="C74" s="93">
        <v>32142.85714285714</v>
      </c>
      <c r="H74" s="95"/>
      <c r="I74" s="93"/>
      <c r="J74" s="93"/>
    </row>
    <row r="75">
      <c r="A75" s="94">
        <v>32000.0</v>
      </c>
      <c r="B75" s="93">
        <v>0.8590604026845637</v>
      </c>
      <c r="C75" s="93">
        <v>32214.76510067114</v>
      </c>
      <c r="H75" s="95"/>
      <c r="I75" s="93"/>
      <c r="J75" s="93"/>
    </row>
    <row r="76">
      <c r="A76" s="92">
        <v>32500.0</v>
      </c>
      <c r="B76" s="93">
        <v>0.8609271523178808</v>
      </c>
      <c r="C76" s="93">
        <v>32284.768211920527</v>
      </c>
      <c r="H76" s="95"/>
      <c r="I76" s="93"/>
      <c r="J76" s="93"/>
    </row>
    <row r="77">
      <c r="A77" s="92">
        <v>33000.0</v>
      </c>
      <c r="B77" s="93">
        <v>0.8627450980392157</v>
      </c>
      <c r="C77" s="93">
        <v>32352.94117647059</v>
      </c>
      <c r="H77" s="96"/>
      <c r="I77" s="93"/>
      <c r="J77" s="93"/>
    </row>
    <row r="78">
      <c r="A78" s="92">
        <v>33500.0</v>
      </c>
      <c r="B78" s="93">
        <v>0.864516129032258</v>
      </c>
      <c r="C78" s="93">
        <v>32419.354838709678</v>
      </c>
      <c r="H78" s="95"/>
      <c r="I78" s="93"/>
      <c r="J78" s="93"/>
    </row>
    <row r="79">
      <c r="A79" s="92">
        <v>34000.0</v>
      </c>
      <c r="B79" s="93">
        <v>0.8662420382165605</v>
      </c>
      <c r="C79" s="93">
        <v>32484.07643312102</v>
      </c>
      <c r="H79" s="95"/>
      <c r="I79" s="93"/>
      <c r="J79" s="93"/>
    </row>
    <row r="80">
      <c r="A80" s="92">
        <v>34500.0</v>
      </c>
      <c r="B80" s="93">
        <v>0.8679245283018868</v>
      </c>
      <c r="C80" s="93">
        <v>32547.169811320757</v>
      </c>
      <c r="H80" s="95"/>
      <c r="I80" s="93"/>
      <c r="J80" s="93"/>
    </row>
    <row r="81">
      <c r="A81" s="94">
        <v>35000.0</v>
      </c>
      <c r="B81" s="93">
        <v>0.8695652173913043</v>
      </c>
      <c r="C81" s="93">
        <v>32608.695652173912</v>
      </c>
      <c r="H81" s="96"/>
      <c r="I81" s="93"/>
      <c r="J81" s="93"/>
    </row>
    <row r="82">
      <c r="A82" s="92">
        <v>35500.0</v>
      </c>
      <c r="B82" s="93">
        <v>0.8711656441717791</v>
      </c>
      <c r="C82" s="93">
        <v>32668.711656441716</v>
      </c>
      <c r="H82" s="95"/>
      <c r="I82" s="93"/>
      <c r="J82" s="93"/>
    </row>
    <row r="83">
      <c r="A83" s="92">
        <v>36000.0</v>
      </c>
      <c r="B83" s="93">
        <v>0.8727272727272727</v>
      </c>
      <c r="C83" s="93">
        <v>32727.272727272724</v>
      </c>
      <c r="H83" s="95"/>
      <c r="I83" s="93"/>
      <c r="J83" s="93"/>
    </row>
    <row r="84">
      <c r="A84" s="92">
        <v>36500.0</v>
      </c>
      <c r="B84" s="93">
        <v>0.874251497005988</v>
      </c>
      <c r="C84" s="93">
        <v>32784.431137724554</v>
      </c>
      <c r="H84" s="95"/>
      <c r="I84" s="93"/>
      <c r="J84" s="93"/>
    </row>
    <row r="85">
      <c r="A85" s="94">
        <v>37000.0</v>
      </c>
      <c r="B85" s="93">
        <v>0.8757396449704142</v>
      </c>
      <c r="C85" s="93">
        <v>32840.23668639053</v>
      </c>
      <c r="H85" s="95"/>
      <c r="I85" s="93"/>
      <c r="J85" s="93"/>
    </row>
    <row r="86">
      <c r="A86" s="92">
        <v>37500.0</v>
      </c>
      <c r="B86" s="93">
        <v>0.8771929824561403</v>
      </c>
      <c r="C86" s="93">
        <v>32894.73684210526</v>
      </c>
      <c r="H86" s="95"/>
      <c r="I86" s="93"/>
      <c r="J86" s="93"/>
    </row>
    <row r="87">
      <c r="A87" s="92">
        <v>38000.0</v>
      </c>
      <c r="B87" s="93">
        <v>0.8786127167630058</v>
      </c>
      <c r="C87" s="93">
        <v>32947.97687861272</v>
      </c>
      <c r="H87" s="96"/>
      <c r="I87" s="93"/>
      <c r="J87" s="93"/>
    </row>
    <row r="88">
      <c r="A88" s="92">
        <v>38500.0</v>
      </c>
      <c r="B88" s="93">
        <v>0.88</v>
      </c>
      <c r="C88" s="93">
        <v>33000.0</v>
      </c>
      <c r="H88" s="95"/>
      <c r="I88" s="93"/>
      <c r="J88" s="93"/>
    </row>
    <row r="89">
      <c r="A89" s="94">
        <v>39000.0</v>
      </c>
      <c r="B89" s="93">
        <v>0.8813559322033898</v>
      </c>
      <c r="C89" s="93">
        <v>33050.84745762712</v>
      </c>
      <c r="H89" s="95"/>
      <c r="I89" s="93"/>
      <c r="J89" s="93"/>
    </row>
    <row r="90">
      <c r="A90" s="92">
        <v>39500.0</v>
      </c>
      <c r="B90" s="93">
        <v>0.88268156424581</v>
      </c>
      <c r="C90" s="93">
        <v>33100.55865921787</v>
      </c>
      <c r="H90" s="95"/>
      <c r="I90" s="93"/>
      <c r="J90" s="93"/>
    </row>
    <row r="91">
      <c r="A91" s="92">
        <v>40000.0</v>
      </c>
      <c r="B91" s="93">
        <v>0.8839779005524862</v>
      </c>
      <c r="C91" s="93">
        <v>33149.17127071823</v>
      </c>
      <c r="H91" s="96"/>
      <c r="I91" s="93"/>
      <c r="J91" s="93"/>
    </row>
    <row r="92">
      <c r="A92" s="92">
        <v>40500.0</v>
      </c>
      <c r="B92" s="93">
        <v>0.8852459016393442</v>
      </c>
      <c r="C92" s="93">
        <v>33196.72131147541</v>
      </c>
      <c r="H92" s="95"/>
      <c r="I92" s="93"/>
      <c r="J92" s="93"/>
    </row>
    <row r="93">
      <c r="A93" s="94">
        <v>41000.0</v>
      </c>
      <c r="B93" s="93">
        <v>0.8864864864864865</v>
      </c>
      <c r="C93" s="93">
        <v>33243.24324324325</v>
      </c>
      <c r="H93" s="95"/>
      <c r="I93" s="93"/>
      <c r="J93" s="93"/>
    </row>
    <row r="94">
      <c r="A94" s="92">
        <v>41500.0</v>
      </c>
      <c r="B94" s="93">
        <v>0.8877005347593583</v>
      </c>
      <c r="C94" s="93">
        <v>33288.770053475935</v>
      </c>
      <c r="H94" s="95"/>
      <c r="I94" s="93"/>
      <c r="J94" s="93"/>
    </row>
    <row r="95">
      <c r="A95" s="92">
        <v>42000.0</v>
      </c>
      <c r="B95" s="93">
        <v>0.8888888888888888</v>
      </c>
      <c r="C95" s="93">
        <v>33333.33333333333</v>
      </c>
      <c r="H95" s="96"/>
      <c r="I95" s="93"/>
      <c r="J95" s="93"/>
    </row>
    <row r="96">
      <c r="A96" s="92">
        <v>42500.0</v>
      </c>
      <c r="B96" s="93">
        <v>0.8900523560209425</v>
      </c>
      <c r="C96" s="93">
        <v>33376.96335078534</v>
      </c>
      <c r="H96" s="95"/>
      <c r="I96" s="93"/>
      <c r="J96" s="93"/>
    </row>
    <row r="97">
      <c r="A97" s="94">
        <v>43000.0</v>
      </c>
      <c r="B97" s="93">
        <v>0.8911917098445595</v>
      </c>
      <c r="C97" s="93">
        <v>33419.68911917098</v>
      </c>
      <c r="H97" s="95"/>
      <c r="I97" s="93"/>
      <c r="J97" s="93"/>
    </row>
    <row r="98">
      <c r="A98" s="92">
        <v>43500.0</v>
      </c>
      <c r="B98" s="93">
        <v>0.8923076923076924</v>
      </c>
      <c r="C98" s="93">
        <v>33461.53846153846</v>
      </c>
      <c r="H98" s="95"/>
      <c r="I98" s="93"/>
      <c r="J98" s="93"/>
    </row>
    <row r="99">
      <c r="A99" s="92">
        <v>44000.0</v>
      </c>
      <c r="B99" s="93">
        <v>0.8934010152284264</v>
      </c>
      <c r="C99" s="93">
        <v>33502.53807106599</v>
      </c>
      <c r="H99" s="96"/>
      <c r="I99" s="93"/>
      <c r="J99" s="93"/>
    </row>
    <row r="100">
      <c r="A100" s="92">
        <v>44500.0</v>
      </c>
      <c r="B100" s="93">
        <v>0.8944723618090452</v>
      </c>
      <c r="C100" s="93">
        <v>33542.71356783919</v>
      </c>
      <c r="H100" s="95"/>
      <c r="I100" s="93"/>
      <c r="J100" s="93"/>
    </row>
    <row r="101">
      <c r="A101" s="92">
        <v>45000.0</v>
      </c>
      <c r="B101" s="93">
        <v>0.8955223880597015</v>
      </c>
      <c r="C101" s="93">
        <v>33582.08955223881</v>
      </c>
      <c r="H101" s="95"/>
      <c r="I101" s="93"/>
      <c r="J101" s="93"/>
    </row>
    <row r="102">
      <c r="A102" s="92">
        <v>45500.0</v>
      </c>
      <c r="B102" s="93">
        <v>0.896551724137931</v>
      </c>
      <c r="C102" s="93">
        <v>33620.68965517241</v>
      </c>
      <c r="H102" s="95"/>
      <c r="I102" s="93"/>
      <c r="J102" s="93"/>
    </row>
    <row r="103">
      <c r="A103" s="94">
        <v>46000.0</v>
      </c>
      <c r="B103" s="93">
        <v>0.8975609756097561</v>
      </c>
      <c r="C103" s="93">
        <v>33658.53658536585</v>
      </c>
      <c r="H103" s="96"/>
      <c r="I103" s="93"/>
      <c r="J103" s="93"/>
    </row>
    <row r="104">
      <c r="A104" s="92">
        <v>46500.0</v>
      </c>
      <c r="B104" s="93">
        <v>0.8985507246376812</v>
      </c>
      <c r="C104" s="93">
        <v>33695.65217391304</v>
      </c>
      <c r="H104" s="95"/>
      <c r="I104" s="93"/>
      <c r="J104" s="93"/>
    </row>
    <row r="105">
      <c r="A105" s="92">
        <v>47000.0</v>
      </c>
      <c r="B105" s="93">
        <v>0.8995215311004785</v>
      </c>
      <c r="C105" s="93">
        <v>33732.05741626794</v>
      </c>
      <c r="H105" s="95"/>
      <c r="I105" s="93"/>
      <c r="J105" s="93"/>
    </row>
    <row r="106">
      <c r="A106" s="92">
        <v>47500.0</v>
      </c>
      <c r="B106" s="93">
        <v>0.9004739336492891</v>
      </c>
      <c r="C106" s="93">
        <v>33767.77251184834</v>
      </c>
      <c r="H106" s="95"/>
      <c r="I106" s="93"/>
      <c r="J106" s="93"/>
    </row>
    <row r="107">
      <c r="A107" s="94">
        <v>48000.0</v>
      </c>
      <c r="B107" s="93">
        <v>0.9014084507042254</v>
      </c>
      <c r="C107" s="93">
        <v>33802.81690140845</v>
      </c>
      <c r="H107" s="95"/>
      <c r="I107" s="93"/>
      <c r="J107" s="93"/>
    </row>
    <row r="108">
      <c r="A108" s="92">
        <v>48500.0</v>
      </c>
      <c r="B108" s="93">
        <v>0.9023255813953488</v>
      </c>
      <c r="C108" s="93">
        <v>33837.20930232558</v>
      </c>
      <c r="H108" s="95"/>
      <c r="I108" s="93"/>
      <c r="J108" s="93"/>
    </row>
    <row r="109">
      <c r="A109" s="92">
        <v>49000.0</v>
      </c>
      <c r="B109" s="93">
        <v>0.9032258064516129</v>
      </c>
      <c r="C109" s="93">
        <v>33870.967741935485</v>
      </c>
      <c r="H109" s="96"/>
      <c r="I109" s="93"/>
      <c r="J109" s="93"/>
    </row>
    <row r="110">
      <c r="A110" s="92">
        <v>49500.0</v>
      </c>
      <c r="B110" s="93">
        <v>0.9041095890410958</v>
      </c>
      <c r="C110" s="93">
        <v>33904.109589041094</v>
      </c>
      <c r="H110" s="95"/>
      <c r="I110" s="93"/>
      <c r="J110" s="93"/>
    </row>
    <row r="111">
      <c r="A111" s="92">
        <v>50000.0</v>
      </c>
      <c r="B111" s="93">
        <v>0.9049773755656109</v>
      </c>
      <c r="C111" s="93">
        <v>33936.65158371041</v>
      </c>
      <c r="H111" s="95"/>
      <c r="I111" s="93"/>
      <c r="J111" s="93"/>
    </row>
    <row r="112">
      <c r="H112" s="95"/>
      <c r="I112" s="93"/>
      <c r="J112" s="93"/>
    </row>
    <row r="113">
      <c r="H113" s="96"/>
      <c r="I113" s="93"/>
      <c r="J113" s="93"/>
    </row>
    <row r="114">
      <c r="H114" s="95"/>
      <c r="I114" s="93"/>
      <c r="J114" s="93"/>
    </row>
    <row r="115">
      <c r="H115" s="95"/>
      <c r="I115" s="93"/>
      <c r="J115" s="93"/>
    </row>
    <row r="116">
      <c r="H116" s="95"/>
      <c r="I116" s="93"/>
      <c r="J116" s="93"/>
    </row>
    <row r="117">
      <c r="H117" s="95"/>
      <c r="I117" s="93"/>
      <c r="J117" s="93"/>
    </row>
  </sheetData>
  <conditionalFormatting sqref="F1">
    <cfRule type="notContainsBlanks" dxfId="0" priority="1">
      <formula>LEN(TRIM(F1))&gt;0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8.88"/>
    <col customWidth="1" min="5" max="5" width="22.63"/>
    <col customWidth="1" min="6" max="6" width="20.5"/>
    <col customWidth="1" min="7" max="7" width="21.0"/>
    <col customWidth="1" min="8" max="8" width="16.75"/>
    <col customWidth="1" min="9" max="9" width="15.0"/>
    <col customWidth="1" min="10" max="10" width="14.75"/>
    <col customWidth="1" min="11" max="11" width="17.75"/>
    <col customWidth="1" min="12" max="12" width="17.88"/>
    <col customWidth="1" min="13" max="13" width="18.25"/>
    <col customWidth="1" min="14" max="14" width="14.38"/>
    <col customWidth="1" min="15" max="15" width="13.88"/>
  </cols>
  <sheetData>
    <row r="1">
      <c r="A1" s="97" t="s">
        <v>126</v>
      </c>
      <c r="B1" s="98">
        <v>199999.0</v>
      </c>
      <c r="C1" s="99"/>
      <c r="D1" s="100"/>
    </row>
    <row r="2">
      <c r="C2" s="99"/>
      <c r="D2" s="100"/>
    </row>
    <row r="3">
      <c r="B3" s="101"/>
      <c r="C3" s="99"/>
      <c r="D3" s="100"/>
    </row>
    <row r="4">
      <c r="C4" s="99"/>
      <c r="D4" s="100"/>
    </row>
    <row r="5">
      <c r="C5" s="99"/>
      <c r="D5" s="100"/>
    </row>
    <row r="6">
      <c r="C6" s="99"/>
      <c r="D6" s="100"/>
    </row>
    <row r="7">
      <c r="A7" s="102" t="s">
        <v>127</v>
      </c>
      <c r="B7" s="102" t="s">
        <v>128</v>
      </c>
      <c r="C7" s="103" t="s">
        <v>129</v>
      </c>
      <c r="D7" s="104" t="s">
        <v>130</v>
      </c>
      <c r="E7" s="105" t="s">
        <v>131</v>
      </c>
      <c r="F7" s="105" t="s">
        <v>132</v>
      </c>
      <c r="G7" s="105" t="s">
        <v>133</v>
      </c>
      <c r="H7" s="105" t="s">
        <v>134</v>
      </c>
      <c r="I7" s="105" t="s">
        <v>135</v>
      </c>
      <c r="J7" s="105" t="s">
        <v>136</v>
      </c>
      <c r="K7" s="105" t="s">
        <v>137</v>
      </c>
      <c r="L7" s="105" t="s">
        <v>138</v>
      </c>
      <c r="M7" s="105" t="s">
        <v>139</v>
      </c>
      <c r="N7" s="105" t="s">
        <v>140</v>
      </c>
      <c r="O7" s="105" t="s">
        <v>141</v>
      </c>
      <c r="R7" s="10" t="s">
        <v>142</v>
      </c>
    </row>
    <row r="8">
      <c r="A8" s="106"/>
      <c r="B8" s="107" t="s">
        <v>52</v>
      </c>
      <c r="C8" s="108"/>
      <c r="D8" s="109"/>
      <c r="E8" s="110"/>
      <c r="F8" s="110"/>
      <c r="G8" s="110"/>
      <c r="H8" s="111"/>
      <c r="I8" s="111"/>
      <c r="J8" s="111"/>
      <c r="K8" s="111"/>
      <c r="L8" s="111"/>
      <c r="M8" s="111"/>
      <c r="N8" s="111"/>
      <c r="O8" s="112">
        <v>0.0</v>
      </c>
      <c r="Q8" s="113"/>
      <c r="R8" s="114" t="s">
        <v>52</v>
      </c>
      <c r="S8" s="113"/>
      <c r="T8" s="113"/>
      <c r="U8" s="113"/>
      <c r="V8" s="113"/>
    </row>
    <row r="9">
      <c r="A9" s="107" t="s">
        <v>143</v>
      </c>
      <c r="B9" s="106" t="s">
        <v>144</v>
      </c>
      <c r="C9" s="108">
        <f>VLOOKUP('range calculator'!E11,'Attack Speed'!A2:AI7,2,true)</f>
        <v>0.6</v>
      </c>
      <c r="D9" s="115">
        <f>IF('range calculator'!$B$34="Yes",'range calculator'!$D$34,380)</f>
        <v>380</v>
      </c>
      <c r="E9" s="110">
        <f>D9*1.2*IF('range calculator'!$D$16="Yes",1.5,1)</f>
        <v>456</v>
      </c>
      <c r="F9" s="116" t="s">
        <v>145</v>
      </c>
      <c r="G9" s="110">
        <f>(D9+140)*1.2*IF('range calculator'!$D$16="Yes",1.5,1)</f>
        <v>624</v>
      </c>
      <c r="H9" s="111">
        <f t="shared" ref="H9:H10" si="1">$B$1/(E9%)</f>
        <v>43859.42982</v>
      </c>
      <c r="I9" s="111"/>
      <c r="J9" s="111">
        <f t="shared" ref="J9:J10" si="2">$B$1/(G9%)</f>
        <v>32051.12179</v>
      </c>
      <c r="K9" s="111">
        <f>IF(H9&lt;='range calculator'!$E$19,(H9+'range calculator'!$E$18)/2*(H9-'range calculator'!$E$18)/('range calculator'!$E$19-'range calculator'!$E$18)+H9*(1-(H9-'range calculator'!$E$18)/('range calculator'!$E$19-'range calculator'!$E$18)),'range calculator'!$D$20)</f>
        <v>17629</v>
      </c>
      <c r="L9" s="112" t="s">
        <v>145</v>
      </c>
      <c r="M9" s="111">
        <f>IF(J9&lt;='range calculator'!$E$19,(J9+'range calculator'!$E$18)/2*(J9-'range calculator'!$E$18)/('range calculator'!$E$19-'range calculator'!$E$18)+J9*(1-(J9-'range calculator'!$E$18)/('range calculator'!$E$19-'range calculator'!$E$18)),'range calculator'!$D$20)</f>
        <v>17629</v>
      </c>
      <c r="N9" s="111">
        <f>IF('range calculator'!$D$13="Yes",E9%*0.85*K9+G9%*0.15*M9, E9%*K9)*4</f>
        <v>339322.992</v>
      </c>
      <c r="O9" s="111">
        <f t="shared" ref="O9:O19" si="3">N9/C9</f>
        <v>565538.32</v>
      </c>
      <c r="R9" s="113" t="str">
        <f>IFERROR(__xludf.DUMMYFUNCTION("SORT(FILTER(B9:B1009,'range calculator'!$D$5=A9:A1009),2,TRUE)"),"Spear Crusher")</f>
        <v>Spear Crusher</v>
      </c>
      <c r="S9" s="113"/>
      <c r="T9" s="113"/>
      <c r="U9" s="113"/>
      <c r="V9" s="113"/>
    </row>
    <row r="10">
      <c r="A10" s="107" t="s">
        <v>143</v>
      </c>
      <c r="B10" s="106" t="s">
        <v>146</v>
      </c>
      <c r="C10" s="108">
        <v>0.12</v>
      </c>
      <c r="D10" s="115">
        <f>IF('range calculator'!$B$34="Yes",'range calculator'!$D$34,200)</f>
        <v>200</v>
      </c>
      <c r="E10" s="110">
        <f>D10*1.2*IF('range calculator'!$D$16="Yes",1.5,1)</f>
        <v>240</v>
      </c>
      <c r="F10" s="116" t="s">
        <v>145</v>
      </c>
      <c r="G10" s="110">
        <f>(D10+140)*1.2*IF('range calculator'!$D$16="Yes",1.5,1)</f>
        <v>408</v>
      </c>
      <c r="H10" s="111">
        <f t="shared" si="1"/>
        <v>83332.91667</v>
      </c>
      <c r="I10" s="111"/>
      <c r="J10" s="111">
        <f t="shared" si="2"/>
        <v>49019.36275</v>
      </c>
      <c r="K10" s="111">
        <f>IF(H10&lt;='range calculator'!$E$19,(H10+'range calculator'!$E$18)/2*(H10-'range calculator'!$E$18)/('range calculator'!$E$19-'range calculator'!$E$18)+H10*(1-(H10-'range calculator'!$E$18)/('range calculator'!$E$19-'range calculator'!$E$18)),'range calculator'!$D$20)</f>
        <v>17629</v>
      </c>
      <c r="L10" s="112" t="s">
        <v>145</v>
      </c>
      <c r="M10" s="111">
        <f>IF(J10&lt;='range calculator'!$E$19,(J10+'range calculator'!$E$18)/2*(J10-'range calculator'!$E$18)/('range calculator'!$E$19-'range calculator'!$E$18)+J10*(1-(J10-'range calculator'!$E$18)/('range calculator'!$E$19-'range calculator'!$E$18)),'range calculator'!$D$20)</f>
        <v>17629</v>
      </c>
      <c r="N10" s="111">
        <f>IF('range calculator'!$D$13="Yes",E10%*0.85*K10+G10%*0.15*M10,E10%*K10)</f>
        <v>46752.108</v>
      </c>
      <c r="O10" s="111">
        <f t="shared" si="3"/>
        <v>389600.9</v>
      </c>
      <c r="R10" s="113"/>
      <c r="S10" s="113"/>
      <c r="T10" s="113"/>
      <c r="U10" s="113"/>
      <c r="V10" s="113"/>
    </row>
    <row r="11">
      <c r="A11" s="106" t="s">
        <v>143</v>
      </c>
      <c r="B11" s="107" t="s">
        <v>147</v>
      </c>
      <c r="C11" s="117">
        <v>0.917</v>
      </c>
      <c r="D11" s="115"/>
      <c r="E11" s="116" t="s">
        <v>145</v>
      </c>
      <c r="F11" s="110" t="s">
        <v>145</v>
      </c>
      <c r="G11" s="110" t="s">
        <v>145</v>
      </c>
      <c r="H11" s="110" t="s">
        <v>145</v>
      </c>
      <c r="I11" s="110" t="s">
        <v>145</v>
      </c>
      <c r="J11" s="110" t="s">
        <v>145</v>
      </c>
      <c r="K11" s="110" t="s">
        <v>145</v>
      </c>
      <c r="L11" s="111" t="s">
        <v>145</v>
      </c>
      <c r="M11" s="110" t="s">
        <v>145</v>
      </c>
      <c r="N11" s="111">
        <f>('range calculator'!$I$31*4.25+'range calculator'!$H$31*2)*500/200*26</f>
        <v>200443.75</v>
      </c>
      <c r="O11" s="111">
        <f t="shared" si="3"/>
        <v>218586.4231</v>
      </c>
      <c r="R11" s="113"/>
      <c r="S11" s="113"/>
      <c r="T11" s="113"/>
      <c r="U11" s="113"/>
      <c r="V11" s="113"/>
    </row>
    <row r="12">
      <c r="A12" s="118" t="s">
        <v>148</v>
      </c>
      <c r="B12" s="118" t="s">
        <v>149</v>
      </c>
      <c r="C12" s="119">
        <v>0.6</v>
      </c>
      <c r="D12" s="115">
        <f>IF('range calculator'!$B$34="Yes",'range calculator'!$D$34,150)</f>
        <v>150</v>
      </c>
      <c r="E12" s="110">
        <f>D12*IF('range calculator'!$D$16="Yes",1.5,1)</f>
        <v>150</v>
      </c>
      <c r="F12" s="110">
        <f>(150+100)*IF('range calculator'!$D$16="Yes",1.5,1)</f>
        <v>250</v>
      </c>
      <c r="G12" s="110">
        <f>(D12+100+140)*IF('range calculator'!$D$16="Yes",1.5,1)</f>
        <v>390</v>
      </c>
      <c r="H12" s="111">
        <f t="shared" ref="H12:J12" si="4">$B$1/(E12%)</f>
        <v>133332.6667</v>
      </c>
      <c r="I12" s="111">
        <f t="shared" si="4"/>
        <v>79999.6</v>
      </c>
      <c r="J12" s="111">
        <f t="shared" si="4"/>
        <v>51281.79487</v>
      </c>
      <c r="K12" s="111" t="str">
        <f>IF(H12&lt;='range calculator'!$F$19,(H12+'range calculator'!$F$18)/2*(H12-'range calculator'!$F$18)/('range calculator'!$F$19-'range calculator'!$F$18)+H12*(1-(H12-'range calculator'!$F$18)/('range calculator'!$F$19-'range calculator'!$F$18)),('range calculator'!$F$18+'range calculator'!$F$19)/2)</f>
        <v>#DIV/0!</v>
      </c>
      <c r="L12" s="111" t="str">
        <f>IF(I12&lt;='range calculator'!$F$19,(I12+'range calculator'!$F$18)/2*(I12-'range calculator'!$F$18)/('range calculator'!$F$19-'range calculator'!$F$18)+I12*(1-(I12-'range calculator'!$F$18)/('range calculator'!$F$19-'range calculator'!$F$18)),('range calculator'!$F$18+'range calculator'!$F$19)/2)</f>
        <v>#DIV/0!</v>
      </c>
      <c r="M12" s="111" t="str">
        <f>IF(J12&lt;='range calculator'!$F$19,(J12+'range calculator'!$F$18)/2*(J12-'range calculator'!$F$18)/('range calculator'!$F$19-'range calculator'!$F$18)+J12*(1-(J12-'range calculator'!$F$18)/('range calculator'!$F$19-'range calculator'!$F$18)),('range calculator'!$F$18+'range calculator'!$F$19)/2)</f>
        <v>#DIV/0!</v>
      </c>
      <c r="N12" s="111" t="str">
        <f>IF('range calculator'!$D$13="Yes", 0.35*E12%*K12+0.65*G12%*M12, 0.5*E12%*K12%+0.5*F12%*L12)*3*1.5</f>
        <v>#DIV/0!</v>
      </c>
      <c r="O12" s="111" t="str">
        <f t="shared" si="3"/>
        <v>#DIV/0!</v>
      </c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</row>
    <row r="13">
      <c r="A13" s="118" t="s">
        <v>148</v>
      </c>
      <c r="B13" s="118" t="s">
        <v>150</v>
      </c>
      <c r="C13" s="119">
        <v>0.6</v>
      </c>
      <c r="D13" s="115">
        <f>IF('range calculator'!$B$34="Yes",'range calculator'!$D$34,140)</f>
        <v>140</v>
      </c>
      <c r="E13" s="110">
        <f>D13*IF('range calculator'!$D$16="Yes",1.5,1)</f>
        <v>140</v>
      </c>
      <c r="F13" s="110">
        <f>(140+100)*IF('range calculator'!$D$16="Yes",1.5,1)</f>
        <v>240</v>
      </c>
      <c r="G13" s="110">
        <f>(D13+100+140)*IF('range calculator'!$D$16="Yes",1.5,1)</f>
        <v>380</v>
      </c>
      <c r="H13" s="111">
        <f t="shared" ref="H13:J13" si="5">$B$1/(E13%)</f>
        <v>142856.4286</v>
      </c>
      <c r="I13" s="111">
        <f t="shared" si="5"/>
        <v>83332.91667</v>
      </c>
      <c r="J13" s="111">
        <f t="shared" si="5"/>
        <v>52631.31579</v>
      </c>
      <c r="K13" s="111" t="str">
        <f>IF(H13&lt;='range calculator'!$F$19,(H13+'range calculator'!$F$18)/2*(H13-'range calculator'!$F$18)/('range calculator'!$F$19-'range calculator'!$F$18)+H13*(1-(H13-'range calculator'!$F$18)/('range calculator'!$F$19-'range calculator'!$F$18)),('range calculator'!$F$18+'range calculator'!$F$19)/2)</f>
        <v>#DIV/0!</v>
      </c>
      <c r="L13" s="111" t="str">
        <f>IF(I13&lt;='range calculator'!$F$19,(I13+'range calculator'!$F$18)/2*(I13-'range calculator'!$F$18)/('range calculator'!$F$19-'range calculator'!$F$18)+I13*(1-(I13-'range calculator'!$F$18)/('range calculator'!$F$19-'range calculator'!$F$18)),('range calculator'!$F$18+'range calculator'!$F$19)/2)</f>
        <v>#DIV/0!</v>
      </c>
      <c r="M13" s="111" t="str">
        <f>IF(J13&lt;='range calculator'!$F$19,(J13+'range calculator'!$F$18)/2*(J13-'range calculator'!$F$18)/('range calculator'!$F$19-'range calculator'!$F$18)+J13*(1-(J13-'range calculator'!$F$18)/('range calculator'!$F$19-'range calculator'!$F$18)),('range calculator'!$F$18+'range calculator'!$F$19)/2)</f>
        <v>#DIV/0!</v>
      </c>
      <c r="N13" s="111" t="str">
        <f>IF('range calculator'!$D$13="Yes", 0.35*E13%*K13+0.65*G13%*M13, 0.5*E13%*K13%+0.5*F13%*L13)*3*1.5</f>
        <v>#DIV/0!</v>
      </c>
      <c r="O13" s="111" t="str">
        <f t="shared" si="3"/>
        <v>#DIV/0!</v>
      </c>
      <c r="P13" s="120"/>
      <c r="Q13" s="120"/>
      <c r="R13" s="121"/>
      <c r="S13" s="122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</row>
    <row r="14">
      <c r="A14" s="107" t="s">
        <v>151</v>
      </c>
      <c r="B14" s="106" t="s">
        <v>152</v>
      </c>
      <c r="C14" s="108">
        <v>0.12</v>
      </c>
      <c r="D14" s="115">
        <f>IF('range calculator'!$B$34="Yes",'range calculator'!$D$34,100)</f>
        <v>100</v>
      </c>
      <c r="E14" s="110">
        <f>D14*IF('range calculator'!$D$16="Yes",1.5,1)</f>
        <v>100</v>
      </c>
      <c r="F14" s="110">
        <f>(100+100)*IF('range calculator'!$D$16="Yes",1.5,1)</f>
        <v>200</v>
      </c>
      <c r="G14" s="110">
        <f>(D14+100+140)*IF('range calculator'!$D$16="Yes",1.5,1)</f>
        <v>340</v>
      </c>
      <c r="H14" s="111">
        <f t="shared" ref="H14:J14" si="6">$B$1/(E14%)</f>
        <v>199999</v>
      </c>
      <c r="I14" s="111">
        <f t="shared" si="6"/>
        <v>99999.5</v>
      </c>
      <c r="J14" s="111">
        <f t="shared" si="6"/>
        <v>58823.23529</v>
      </c>
      <c r="K14" s="111">
        <f>IF(H14&lt;='range calculator'!$E$19,(H14+'range calculator'!$E$18)/2*(H14-'range calculator'!$E$18)/('range calculator'!$E$19-'range calculator'!$E$18)+H14*(1-(H14-'range calculator'!$E$18)/('range calculator'!$E$19-'range calculator'!$E$18)),'range calculator'!$D$20)</f>
        <v>17629</v>
      </c>
      <c r="L14" s="111">
        <f>IF(I14&lt;='range calculator'!$E$19,(I14+'range calculator'!$E$18)/2*(I14-'range calculator'!$E$18)/('range calculator'!$E$19-'range calculator'!$E$18)+I14*(1-(I14-'range calculator'!$E$18)/('range calculator'!$E$19-'range calculator'!$E$18)),'range calculator'!$D$20)</f>
        <v>17629</v>
      </c>
      <c r="M14" s="111">
        <f>IF(J14&lt;='range calculator'!$E$19,(J14+'range calculator'!$E$18)/2*(J14-'range calculator'!$E$18)/('range calculator'!$E$19-'range calculator'!$E$18)+J14*(1-(J14-'range calculator'!$E$18)/('range calculator'!$E$19-'range calculator'!$E$18)),'range calculator'!$D$20)</f>
        <v>17629</v>
      </c>
      <c r="N14" s="111">
        <f>IF('range calculator'!$D$13="Yes",0.45*E14%*K14+0.55*G14%*M14,0.6*E14%*K14+0.4*F14%*L14)</f>
        <v>40899.28</v>
      </c>
      <c r="O14" s="111">
        <f t="shared" si="3"/>
        <v>340827.3333</v>
      </c>
      <c r="Q14" s="113"/>
      <c r="R14" s="113"/>
      <c r="S14" s="113"/>
      <c r="T14" s="113"/>
      <c r="U14" s="113"/>
      <c r="V14" s="113"/>
    </row>
    <row r="15">
      <c r="A15" s="107" t="s">
        <v>153</v>
      </c>
      <c r="B15" s="107" t="s">
        <v>154</v>
      </c>
      <c r="C15" s="108">
        <f>VLOOKUP('range calculator'!$E$11,'Attack Speed'!$A$2:AI$7,5,true)</f>
        <v>0.63</v>
      </c>
      <c r="D15" s="115">
        <f>IF('range calculator'!$B$34="Yes",'range calculator'!$D$34,260)</f>
        <v>260</v>
      </c>
      <c r="E15" s="110">
        <f>D15*1.9*IF('range calculator'!$D$16="Yes",1.5,1)</f>
        <v>494</v>
      </c>
      <c r="F15" s="116" t="s">
        <v>145</v>
      </c>
      <c r="G15" s="110">
        <f>(D15+140)*1.9*IF('range calculator'!$D$16="Yes",1.5,1)</f>
        <v>760</v>
      </c>
      <c r="H15" s="111">
        <f t="shared" ref="H15:H17" si="7">$B$1/(E15%)</f>
        <v>40485.62753</v>
      </c>
      <c r="I15" s="111"/>
      <c r="J15" s="111">
        <f t="shared" ref="J15:J17" si="8">$B$1/(G15%)</f>
        <v>26315.65789</v>
      </c>
      <c r="K15" s="111">
        <f>IF(H15&lt;='range calculator'!$E$19,(H15+'range calculator'!$E$18)/2*(H15-'range calculator'!$E$18)/('range calculator'!$E$19-'range calculator'!$E$18)+H15*(1-(H15-'range calculator'!$E$18)/('range calculator'!$E$19-'range calculator'!$E$18)),'range calculator'!$D$20)</f>
        <v>17629</v>
      </c>
      <c r="L15" s="112" t="s">
        <v>145</v>
      </c>
      <c r="M15" s="111">
        <f>IF(J15&lt;='range calculator'!$E$19,(J15+'range calculator'!$E$18)/2*(J15-'range calculator'!$E$18)/('range calculator'!$E$19-'range calculator'!$E$18)+J15*(1-(J15-'range calculator'!$E$18)/('range calculator'!$E$19-'range calculator'!$E$18)),'range calculator'!$D$20)</f>
        <v>17629</v>
      </c>
      <c r="N15" s="111">
        <f>IF('range calculator'!$D$13="Yes",E15%*0.85*K15+G15%*0.15*M15, E15%*K15)*2</f>
        <v>188242.462</v>
      </c>
      <c r="O15" s="111">
        <f t="shared" si="3"/>
        <v>298797.5587</v>
      </c>
      <c r="Q15" s="113"/>
      <c r="R15" s="113"/>
      <c r="S15" s="113"/>
      <c r="T15" s="113"/>
      <c r="U15" s="113"/>
      <c r="V15" s="113"/>
    </row>
    <row r="16">
      <c r="A16" s="107"/>
      <c r="B16" s="107" t="s">
        <v>155</v>
      </c>
      <c r="C16" s="108">
        <f>VLOOKUP('range calculator'!$E$11,'Attack Speed'!$A$2:AI$7,5,true)</f>
        <v>0.63</v>
      </c>
      <c r="D16" s="115">
        <f>IF('range calculator'!$B$34="Yes",'range calculator'!$D$34,260)</f>
        <v>260</v>
      </c>
      <c r="E16" s="110">
        <f>D16*1.9*IF('range calculator'!$D$16="Yes",1.5,1)</f>
        <v>494</v>
      </c>
      <c r="F16" s="116" t="s">
        <v>145</v>
      </c>
      <c r="G16" s="110">
        <f>(D16+140)*1.9*IF('range calculator'!$D$16="Yes",1.5,1)</f>
        <v>760</v>
      </c>
      <c r="H16" s="111">
        <f t="shared" si="7"/>
        <v>40485.62753</v>
      </c>
      <c r="I16" s="111"/>
      <c r="J16" s="111">
        <f t="shared" si="8"/>
        <v>26315.65789</v>
      </c>
      <c r="K16" s="111">
        <f>IF(H16&lt;='range calculator'!$E$19,(H16+'range calculator'!$E$18)/2*(H16-'range calculator'!$E$18)/('range calculator'!$E$19-'range calculator'!$E$18)+H16*(1-(H16-'range calculator'!$E$18)/('range calculator'!$E$19-'range calculator'!$E$18)),AVERAGE('range calculator'!$E$18,'range calculator'!$E$19))</f>
        <v>17629</v>
      </c>
      <c r="L16" s="112" t="s">
        <v>145</v>
      </c>
      <c r="M16" s="111">
        <f>IF(J16&lt;='range calculator'!$E$19,(J16+'range calculator'!$E$18)/2*(J16-'range calculator'!$E$18)/('range calculator'!$E$19-'range calculator'!$E$18)+J16*(1-(J16-'range calculator'!$E$18)/('range calculator'!$E$19-'range calculator'!$E$18)),AVERAGE('range calculator'!$E$18,'range calculator'!$E$19))</f>
        <v>17629</v>
      </c>
      <c r="N16" s="111">
        <f>IF('range calculator'!$D$13="Yes",E16%*0.85*K16+G16%*0.15*M16, E16%*K16)*2</f>
        <v>188242.462</v>
      </c>
      <c r="O16" s="111">
        <f t="shared" si="3"/>
        <v>298797.5587</v>
      </c>
      <c r="Q16" s="113"/>
      <c r="R16" s="113"/>
      <c r="S16" s="113"/>
      <c r="T16" s="113"/>
      <c r="U16" s="113"/>
      <c r="V16" s="113"/>
    </row>
    <row r="17">
      <c r="A17" s="107"/>
      <c r="B17" s="107" t="s">
        <v>156</v>
      </c>
      <c r="C17" s="108">
        <f>VLOOKUP('range calculator'!$E$11,'Attack Speed'!$A$2:AI$7,5,true)</f>
        <v>0.63</v>
      </c>
      <c r="D17" s="115">
        <f>IF('range calculator'!$B$34="Yes",'range calculator'!$D$34,260)</f>
        <v>260</v>
      </c>
      <c r="E17" s="110">
        <f>D17*1.9*IF('range calculator'!$D$16="Yes",1.5,1)</f>
        <v>494</v>
      </c>
      <c r="F17" s="116" t="s">
        <v>145</v>
      </c>
      <c r="G17" s="110">
        <f>(D17+140)*1.9*IF('range calculator'!$D$16="Yes",1.5,1)</f>
        <v>760</v>
      </c>
      <c r="H17" s="111">
        <f t="shared" si="7"/>
        <v>40485.62753</v>
      </c>
      <c r="I17" s="111"/>
      <c r="J17" s="111">
        <f t="shared" si="8"/>
        <v>26315.65789</v>
      </c>
      <c r="K17" s="111" t="str">
        <f>IF(H17&lt;='range calculator'!$F$19,(H17+'range calculator'!$F$18)/2*(H17-'range calculator'!$F$18)/('range calculator'!$F$19-'range calculator'!$F$18)+H17*(1-(H17-'range calculator'!$F$18)/('range calculator'!$F$19-'range calculator'!$F$18)),AVERAGE('range calculator'!$F$18,'range calculator'!$F$19))</f>
        <v>#DIV/0!</v>
      </c>
      <c r="L17" s="112" t="s">
        <v>145</v>
      </c>
      <c r="M17" s="111" t="str">
        <f>IF(J17&lt;='range calculator'!$F$19,(J17+'range calculator'!$F$18)/2*(J17-'range calculator'!$F$18)/('range calculator'!$E$19-'range calculator'!$F$18)+J17*(1-(J17-'range calculator'!$F$18)/('range calculator'!$F$19-'range calculator'!$F$18)),AVERAGE('range calculator'!$F$18,'range calculator'!$F$19))</f>
        <v>#DIV/0!</v>
      </c>
      <c r="N17" s="111" t="str">
        <f>IF('range calculator'!$D$13="Yes",E17%*0.85*K17+G17%*0.15*M17, E17%*K17)*2</f>
        <v>#DIV/0!</v>
      </c>
      <c r="O17" s="111" t="str">
        <f t="shared" si="3"/>
        <v>#DIV/0!</v>
      </c>
      <c r="Q17" s="113"/>
      <c r="R17" s="113"/>
      <c r="S17" s="113"/>
      <c r="T17" s="113"/>
      <c r="U17" s="113"/>
      <c r="V17" s="113"/>
    </row>
    <row r="18">
      <c r="A18" s="107" t="s">
        <v>153</v>
      </c>
      <c r="B18" s="107" t="s">
        <v>157</v>
      </c>
      <c r="C18" s="108">
        <f>VLOOKUP('range calculator'!$E$11,'Attack Speed'!$A$2:AI$7,5,true)</f>
        <v>0.63</v>
      </c>
      <c r="D18" s="109"/>
      <c r="E18" s="116" t="s">
        <v>145</v>
      </c>
      <c r="F18" s="116" t="s">
        <v>145</v>
      </c>
      <c r="G18" s="116" t="s">
        <v>145</v>
      </c>
      <c r="H18" s="116" t="s">
        <v>145</v>
      </c>
      <c r="I18" s="116" t="s">
        <v>145</v>
      </c>
      <c r="J18" s="116" t="s">
        <v>145</v>
      </c>
      <c r="K18" s="116" t="s">
        <v>145</v>
      </c>
      <c r="L18" s="112" t="s">
        <v>145</v>
      </c>
      <c r="M18" s="116" t="s">
        <v>145</v>
      </c>
      <c r="N18" s="111" t="str">
        <f>(N16+N17)/2</f>
        <v>#DIV/0!</v>
      </c>
      <c r="O18" s="111" t="str">
        <f t="shared" si="3"/>
        <v>#DIV/0!</v>
      </c>
      <c r="Q18" s="113"/>
      <c r="R18" s="113"/>
      <c r="S18" s="113"/>
      <c r="T18" s="113"/>
      <c r="U18" s="113"/>
      <c r="V18" s="113"/>
    </row>
    <row r="19">
      <c r="A19" s="107" t="s">
        <v>158</v>
      </c>
      <c r="B19" s="107" t="s">
        <v>159</v>
      </c>
      <c r="C19" s="108">
        <f>VLOOKUP('range calculator'!$E$11,'Attack Speed'!$A$2:AI$7,3,true)</f>
        <v>0.6</v>
      </c>
      <c r="D19" s="115">
        <f>IF('range calculator'!$B$34="Yes",'range calculator'!$D$34,125)</f>
        <v>125</v>
      </c>
      <c r="E19" s="110">
        <f>D19*IF('range calculator'!$D$16="Yes",1.5,1)</f>
        <v>125</v>
      </c>
      <c r="F19" s="110">
        <f>(125+100)*IF('range calculator'!$D$16="Yes",1.5,1)</f>
        <v>225</v>
      </c>
      <c r="G19" s="110">
        <f>(D19+100+140)*IF('range calculator'!$D$16="Yes",1.5,1)</f>
        <v>365</v>
      </c>
      <c r="H19" s="111">
        <f t="shared" ref="H19:J19" si="9">$B$1/(E19%)</f>
        <v>159999.2</v>
      </c>
      <c r="I19" s="111">
        <f t="shared" si="9"/>
        <v>88888.44444</v>
      </c>
      <c r="J19" s="111">
        <f t="shared" si="9"/>
        <v>54794.24658</v>
      </c>
      <c r="K19" s="111">
        <f>IF(H19&lt;='range calculator'!$E$19,(H19+'range calculator'!$E$18)/2*(H19-'range calculator'!$E$18)/('range calculator'!$E$19-'range calculator'!$E$18)+H19*(1-(H19-'range calculator'!$E$18)/('range calculator'!$E$19-'range calculator'!$E$18)),'range calculator'!$D$20)</f>
        <v>17629</v>
      </c>
      <c r="L19" s="111">
        <f>IF(I19&lt;='range calculator'!$E$19,(I19+'range calculator'!$E$18)/2*(I19-'range calculator'!$E$18)/('range calculator'!$E$19-'range calculator'!$E$18)+I19*(1-(I19-'range calculator'!$E$18)/('range calculator'!$E$19-'range calculator'!$E$18)),'range calculator'!$D$20)</f>
        <v>17629</v>
      </c>
      <c r="M19" s="111">
        <f>IF(J19&lt;='range calculator'!$E$19,(J19+'range calculator'!$E$18)/2*(J19-'range calculator'!$E$18)/('range calculator'!$E$19-'range calculator'!$E$18)+J19*(1-(J19-'range calculator'!$E$18)/('range calculator'!$E$19-'range calculator'!$E$18)),'range calculator'!$D$20)</f>
        <v>17629</v>
      </c>
      <c r="N19" s="111">
        <f>IF('range calculator'!$D$13="Yes",0.45*E19%*K19+0.55*G19%*M19,0.6*E19%*K19+0.4*F19%*L19)*4</f>
        <v>181226.12</v>
      </c>
      <c r="O19" s="111">
        <f t="shared" si="3"/>
        <v>302043.5333</v>
      </c>
      <c r="Q19" s="113"/>
      <c r="R19" s="113"/>
      <c r="S19" s="113"/>
      <c r="T19" s="113"/>
      <c r="U19" s="113"/>
      <c r="V19" s="113"/>
    </row>
    <row r="20">
      <c r="A20" s="107" t="s">
        <v>158</v>
      </c>
      <c r="B20" s="107" t="s">
        <v>160</v>
      </c>
      <c r="C20" s="108">
        <f>VLOOKUP('range calculator'!$E$11,'Attack Speed'!$A$2:AI$7,3,true)</f>
        <v>0.6</v>
      </c>
      <c r="D20" s="109"/>
      <c r="E20" s="116" t="s">
        <v>145</v>
      </c>
      <c r="F20" s="116" t="s">
        <v>145</v>
      </c>
      <c r="G20" s="116" t="s">
        <v>145</v>
      </c>
      <c r="H20" s="116" t="s">
        <v>145</v>
      </c>
      <c r="I20" s="116" t="s">
        <v>145</v>
      </c>
      <c r="J20" s="116" t="s">
        <v>145</v>
      </c>
      <c r="K20" s="116" t="s">
        <v>145</v>
      </c>
      <c r="L20" s="116" t="s">
        <v>145</v>
      </c>
      <c r="M20" s="116" t="s">
        <v>145</v>
      </c>
      <c r="N20" s="112" t="s">
        <v>145</v>
      </c>
      <c r="O20" s="112">
        <f>195000/C20
</f>
        <v>325000</v>
      </c>
      <c r="Q20" s="113"/>
      <c r="R20" s="113"/>
      <c r="S20" s="113"/>
      <c r="T20" s="113"/>
      <c r="U20" s="113"/>
      <c r="V20" s="113"/>
    </row>
    <row r="21">
      <c r="A21" s="106" t="s">
        <v>161</v>
      </c>
      <c r="B21" s="107" t="s">
        <v>162</v>
      </c>
      <c r="C21" s="108">
        <v>2.34</v>
      </c>
      <c r="D21" s="115">
        <f>IF('range calculator'!$B$34="Yes",'range calculator'!$D$34,500)</f>
        <v>500</v>
      </c>
      <c r="E21" s="116">
        <f>D21*IF('range calculator'!$D$16="Yes",1.5,1)</f>
        <v>500</v>
      </c>
      <c r="F21" s="116" t="s">
        <v>145</v>
      </c>
      <c r="G21" s="110">
        <f>(D21+140)*IF('range calculator'!$D$16="Yes",1.5,1)</f>
        <v>640</v>
      </c>
      <c r="H21" s="111">
        <f t="shared" ref="H21:H25" si="10">$B$1/(E21%)</f>
        <v>39999.8</v>
      </c>
      <c r="I21" s="111"/>
      <c r="J21" s="111">
        <f t="shared" ref="J21:J25" si="11">$B$1/(G21%)</f>
        <v>31249.84375</v>
      </c>
      <c r="K21" s="111">
        <f>IF(H21&lt;='range calculator'!$E$19,(H21+'range calculator'!$E$18)/2*(H21-'range calculator'!$E$18)/('range calculator'!$E$19-'range calculator'!$E$18)+H21*(1-(H21-'range calculator'!$E$18)/('range calculator'!$E$19-'range calculator'!$E$18)),'range calculator'!$D$20)</f>
        <v>17629</v>
      </c>
      <c r="L21" s="112" t="s">
        <v>145</v>
      </c>
      <c r="M21" s="111">
        <f>IF(J21&lt;='range calculator'!$E$19,(J21+'range calculator'!$E$18)/2*(J21-'range calculator'!$E$18)/('range calculator'!$E$19-'range calculator'!$E$18)+J21*(1-(J21-'range calculator'!$E$18)/('range calculator'!$E$19-'range calculator'!$E$18)),'range calculator'!$D$20)</f>
        <v>17629</v>
      </c>
      <c r="N21" s="111">
        <f>IF('range calculator'!$D$13="Yes",E21%*0.85*K21+G21%*0.15*M21, E21%*K21)*8</f>
        <v>734776.72</v>
      </c>
      <c r="O21" s="111">
        <f>N21/C21</f>
        <v>314007.1453</v>
      </c>
      <c r="Q21" s="113"/>
      <c r="R21" s="113"/>
      <c r="S21" s="113"/>
      <c r="T21" s="113"/>
      <c r="U21" s="113"/>
      <c r="V21" s="113"/>
    </row>
    <row r="22">
      <c r="A22" s="106"/>
      <c r="B22" s="107" t="s">
        <v>163</v>
      </c>
      <c r="C22" s="108"/>
      <c r="D22" s="115">
        <f>IF('range calculator'!$B$34="Yes",'range calculator'!$D$34,330)</f>
        <v>330</v>
      </c>
      <c r="E22" s="116">
        <f>D22*IF('range calculator'!$D$16="Yes",1.5,1)</f>
        <v>330</v>
      </c>
      <c r="F22" s="116" t="s">
        <v>145</v>
      </c>
      <c r="G22" s="116">
        <f>(D22+140)*IF('range calculator'!$D$16="Yes",1.5,1)</f>
        <v>470</v>
      </c>
      <c r="H22" s="111">
        <f t="shared" si="10"/>
        <v>60605.75758</v>
      </c>
      <c r="I22" s="111"/>
      <c r="J22" s="111">
        <f t="shared" si="11"/>
        <v>42552.97872</v>
      </c>
      <c r="K22" s="111">
        <f>IF(H22&lt;='range calculator'!$E$19,(H22+'range calculator'!$E$18)/2*(H22-'range calculator'!$E$18)/('range calculator'!$E$19-'range calculator'!$E$18)+H22*(1-(H22-'range calculator'!$E$18)/('range calculator'!$E$19-'range calculator'!$E$18)),'range calculator'!$D$20)</f>
        <v>17629</v>
      </c>
      <c r="L22" s="112" t="s">
        <v>145</v>
      </c>
      <c r="M22" s="111">
        <f>IF(J22&lt;='range calculator'!$E$19,(J22+'range calculator'!$E$18)/2*(J22-'range calculator'!$E$18)/('range calculator'!$E$19-'range calculator'!$E$18)+J22*(1-(J22-'range calculator'!$E$18)/('range calculator'!$E$19-'range calculator'!$E$18)),'range calculator'!$D$20)</f>
        <v>17629</v>
      </c>
      <c r="N22" s="111">
        <f>IF('range calculator'!$D$13="Yes",E22%*0.85*K22+G22%*0.15*M22, E22%*K22)*4</f>
        <v>247511.16</v>
      </c>
      <c r="O22" s="112" t="s">
        <v>145</v>
      </c>
      <c r="Q22" s="113"/>
      <c r="R22" s="113"/>
      <c r="S22" s="113"/>
      <c r="T22" s="113"/>
      <c r="U22" s="113"/>
      <c r="V22" s="113"/>
    </row>
    <row r="23">
      <c r="A23" s="106"/>
      <c r="B23" s="107" t="s">
        <v>164</v>
      </c>
      <c r="C23" s="108"/>
      <c r="D23" s="115">
        <f>IF('range calculator'!$B$34="Yes",'range calculator'!$D$34,330)</f>
        <v>330</v>
      </c>
      <c r="E23" s="116">
        <f>(D23*2)*IF('range calculator'!$D$16="Yes",1.5,1)</f>
        <v>660</v>
      </c>
      <c r="F23" s="116" t="s">
        <v>145</v>
      </c>
      <c r="G23" s="116">
        <f>(D23*2+140*2)*IF('range calculator'!$D$16="Yes",1.5,1)</f>
        <v>940</v>
      </c>
      <c r="H23" s="111">
        <f t="shared" si="10"/>
        <v>30302.87879</v>
      </c>
      <c r="I23" s="111"/>
      <c r="J23" s="111">
        <f t="shared" si="11"/>
        <v>21276.48936</v>
      </c>
      <c r="K23" s="111">
        <f>IF(H23&lt;='range calculator'!$E$19,(H23+'range calculator'!$E$18)/2*(H23-'range calculator'!$E$18)/('range calculator'!$E$19-'range calculator'!$E$18)+H23*(1-(H23-'range calculator'!$E$18)/('range calculator'!$E$19-'range calculator'!$E$18)),'range calculator'!$D$20)</f>
        <v>17629</v>
      </c>
      <c r="L23" s="112" t="s">
        <v>145</v>
      </c>
      <c r="M23" s="111">
        <f>IF(J23&lt;='range calculator'!$E$19,(J23+'range calculator'!$E$18)/2*(J23-'range calculator'!$E$18)/('range calculator'!$E$19-'range calculator'!$E$18)+J23*(1-(J23-'range calculator'!$E$18)/('range calculator'!$E$19-'range calculator'!$E$18)),'range calculator'!$D$20)</f>
        <v>17629</v>
      </c>
      <c r="N23" s="111">
        <f>IF('range calculator'!$D$13="Yes",E23%*0.85*K23+G23%*0.15*M23, E23%*K23)</f>
        <v>123755.58</v>
      </c>
      <c r="O23" s="112" t="s">
        <v>145</v>
      </c>
      <c r="Q23" s="113"/>
      <c r="R23" s="113"/>
      <c r="S23" s="113"/>
      <c r="T23" s="113"/>
      <c r="U23" s="113"/>
      <c r="V23" s="113"/>
    </row>
    <row r="24">
      <c r="A24" s="106"/>
      <c r="B24" s="107" t="s">
        <v>165</v>
      </c>
      <c r="C24" s="108"/>
      <c r="D24" s="115">
        <f>IF('range calculator'!$B$34="Yes",'range calculator'!$D$34,330)</f>
        <v>330</v>
      </c>
      <c r="E24" s="116">
        <f>(D24*4)*IF('range calculator'!$D$16="Yes",1.5,1)</f>
        <v>1320</v>
      </c>
      <c r="F24" s="116" t="s">
        <v>145</v>
      </c>
      <c r="G24" s="116">
        <f>(D24*4+140*4)*IF('range calculator'!$D$16="Yes",1.5,1)</f>
        <v>1880</v>
      </c>
      <c r="H24" s="111">
        <f t="shared" si="10"/>
        <v>15151.43939</v>
      </c>
      <c r="I24" s="111"/>
      <c r="J24" s="111">
        <f t="shared" si="11"/>
        <v>10638.24468</v>
      </c>
      <c r="K24" s="111">
        <f>IF(H24&lt;='range calculator'!$E$19,(H24+'range calculator'!$E$18)/2*(H24-'range calculator'!$E$18)/('range calculator'!$E$19-'range calculator'!$E$18)+H24*(1-(H24-'range calculator'!$E$18)/('range calculator'!$E$19-'range calculator'!$E$18)),'range calculator'!$D$20)</f>
        <v>15141.88355</v>
      </c>
      <c r="L24" s="112" t="s">
        <v>145</v>
      </c>
      <c r="M24" s="111">
        <f>IF(J24&lt;='range calculator'!$E$19,(J24+'range calculator'!$E$18)/2*(J24-'range calculator'!$E$18)/('range calculator'!$E$19-'range calculator'!$E$18)+J24*(1-(J24-'range calculator'!$E$18)/('range calculator'!$E$19-'range calculator'!$E$18)),'range calculator'!$D$20)</f>
        <v>9076.69855</v>
      </c>
      <c r="N24" s="111">
        <f>IF('range calculator'!$D$13="Yes",E24%*0.85*K24+G24%*0.15*M24, E24%*K24)</f>
        <v>195488.2234</v>
      </c>
      <c r="O24" s="112" t="s">
        <v>145</v>
      </c>
      <c r="Q24" s="113"/>
      <c r="R24" s="113"/>
      <c r="S24" s="113"/>
      <c r="T24" s="113"/>
      <c r="U24" s="113"/>
      <c r="V24" s="113"/>
    </row>
    <row r="25">
      <c r="A25" s="106"/>
      <c r="B25" s="107" t="s">
        <v>166</v>
      </c>
      <c r="C25" s="108"/>
      <c r="D25" s="115">
        <f>IF('range calculator'!$B$34="Yes",'range calculator'!$D$34,900)</f>
        <v>900</v>
      </c>
      <c r="E25" s="116">
        <f>D25*IF('range calculator'!$D$16="Yes",1.5,1)</f>
        <v>900</v>
      </c>
      <c r="F25" s="116" t="s">
        <v>145</v>
      </c>
      <c r="G25" s="116">
        <f>(D25+140)*IF('range calculator'!$D$16="Yes",1.5,1)</f>
        <v>1040</v>
      </c>
      <c r="H25" s="111">
        <f t="shared" si="10"/>
        <v>22222.11111</v>
      </c>
      <c r="I25" s="116" t="s">
        <v>145</v>
      </c>
      <c r="J25" s="111">
        <f t="shared" si="11"/>
        <v>19230.67308</v>
      </c>
      <c r="K25" s="111">
        <f>IF(H25&lt;='range calculator'!$E$19,(H25+'range calculator'!$E$18)/2*(H25-'range calculator'!$E$18)/('range calculator'!$E$19-'range calculator'!$E$18)+H25*(1-(H25-'range calculator'!$E$18)/('range calculator'!$E$19-'range calculator'!$E$18)),'range calculator'!$D$20)</f>
        <v>17629</v>
      </c>
      <c r="L25" s="112" t="s">
        <v>145</v>
      </c>
      <c r="M25" s="111">
        <f>IF(J25&lt;='range calculator'!$E$19,(J25+'range calculator'!$E$18)/2*(J25-'range calculator'!$E$18)/('range calculator'!$E$19-'range calculator'!$E$18)+J25*(1-(J25-'range calculator'!$E$18)/('range calculator'!$E$19-'range calculator'!$E$18)),'range calculator'!$D$20)</f>
        <v>17499.94513</v>
      </c>
      <c r="N25" s="111">
        <f>IF('range calculator'!$D$13="Yes",E25%*0.85*K25+G25%*0.15*M25, E25%*K25)</f>
        <v>162161.7644</v>
      </c>
      <c r="O25" s="112" t="s">
        <v>145</v>
      </c>
      <c r="Q25" s="113"/>
      <c r="R25" s="113"/>
      <c r="S25" s="113"/>
      <c r="T25" s="113"/>
      <c r="U25" s="113"/>
      <c r="V25" s="113"/>
    </row>
    <row r="26">
      <c r="A26" s="106" t="s">
        <v>161</v>
      </c>
      <c r="B26" s="107" t="s">
        <v>167</v>
      </c>
      <c r="C26" s="108">
        <v>2.34</v>
      </c>
      <c r="D26" s="109"/>
      <c r="E26" s="116" t="s">
        <v>145</v>
      </c>
      <c r="F26" s="116" t="s">
        <v>145</v>
      </c>
      <c r="G26" s="116" t="s">
        <v>145</v>
      </c>
      <c r="H26" s="116" t="s">
        <v>145</v>
      </c>
      <c r="I26" s="116" t="s">
        <v>145</v>
      </c>
      <c r="J26" s="116" t="s">
        <v>145</v>
      </c>
      <c r="K26" s="116" t="s">
        <v>145</v>
      </c>
      <c r="L26" s="112" t="s">
        <v>145</v>
      </c>
      <c r="M26" s="116" t="s">
        <v>145</v>
      </c>
      <c r="N26" s="111">
        <f>$N$22+$N$23+$N$24+$N$25</f>
        <v>728916.7278</v>
      </c>
      <c r="O26" s="111">
        <f t="shared" ref="O26:O46" si="12">N26/C26</f>
        <v>311502.8751</v>
      </c>
      <c r="Q26" s="113"/>
      <c r="R26" s="113"/>
      <c r="S26" s="113"/>
      <c r="T26" s="113"/>
      <c r="U26" s="113"/>
      <c r="V26" s="113"/>
    </row>
    <row r="27">
      <c r="A27" s="107" t="s">
        <v>11</v>
      </c>
      <c r="B27" s="107" t="s">
        <v>49</v>
      </c>
      <c r="C27" s="108">
        <f>VLOOKUP('range calculator'!$E$11,'Attack Speed'!$A$2:AI$7,4,true)</f>
        <v>0.81</v>
      </c>
      <c r="D27" s="115">
        <f>IF('range calculator'!$B$34="Yes",'range calculator'!$D$34,170)</f>
        <v>170</v>
      </c>
      <c r="E27" s="116">
        <f>D27*2*IF('range calculator'!$D$16="Yes",1.5,1)</f>
        <v>340</v>
      </c>
      <c r="F27" s="116" t="s">
        <v>145</v>
      </c>
      <c r="G27" s="110">
        <f>(D27+140)*2*IF('range calculator'!$D$16="Yes",1.5,1)</f>
        <v>620</v>
      </c>
      <c r="H27" s="111">
        <f t="shared" ref="H27:H31" si="13">$B$1/(E27%)</f>
        <v>58823.23529</v>
      </c>
      <c r="I27" s="111"/>
      <c r="J27" s="111">
        <f t="shared" ref="J27:J31" si="14">$B$1/(G27%)</f>
        <v>32257.90323</v>
      </c>
      <c r="K27" s="111">
        <f>IF(H27&lt;='range calculator'!$E$19,(H27+'range calculator'!$E$18)/2*(H27-'range calculator'!$E$18)/('range calculator'!$E$19-'range calculator'!$E$18)+H27*(1-(H27-'range calculator'!$E$18)/('range calculator'!$E$19-'range calculator'!$E$18)),'range calculator'!$D$20)</f>
        <v>17629</v>
      </c>
      <c r="L27" s="112" t="s">
        <v>145</v>
      </c>
      <c r="M27" s="111">
        <f>IF(J27&lt;='range calculator'!$E$19,(J27+'range calculator'!$E$18)/2*(J27-'range calculator'!$E$18)/('range calculator'!$E$19-'range calculator'!$E$18)+J27*(1-(J27-'range calculator'!$E$18)/('range calculator'!$E$19-'range calculator'!$E$18)),'range calculator'!$D$20)</f>
        <v>17629</v>
      </c>
      <c r="N27" s="111">
        <f>IF('range calculator'!$D$13="Yes",E27%*0.85*K27+G27%*0.15*M27, E27%*K27)*3</f>
        <v>202028.34</v>
      </c>
      <c r="O27" s="111">
        <f t="shared" si="12"/>
        <v>249417.7037</v>
      </c>
      <c r="Q27" s="113"/>
      <c r="R27" s="113"/>
      <c r="S27" s="113"/>
      <c r="T27" s="113"/>
      <c r="U27" s="113"/>
      <c r="V27" s="113"/>
    </row>
    <row r="28">
      <c r="A28" s="107" t="s">
        <v>168</v>
      </c>
      <c r="B28" s="123" t="s">
        <v>169</v>
      </c>
      <c r="C28" s="108">
        <f>VLOOKUP('range calculator'!$E$11,'Attack Speed'!$A$2:AI$7,6,true)</f>
        <v>0.63</v>
      </c>
      <c r="D28" s="115">
        <f>IF('range calculator'!$B$34="Yes",'range calculator'!$D$34,580)</f>
        <v>580</v>
      </c>
      <c r="E28" s="110">
        <f>D28*1.4*IF('range calculator'!$D$16="Yes",1.5,1)</f>
        <v>812</v>
      </c>
      <c r="F28" s="116" t="s">
        <v>145</v>
      </c>
      <c r="G28" s="124">
        <f>D28*1.4+140*IF('range calculator'!$D$16="Yes",1.5,1)</f>
        <v>952</v>
      </c>
      <c r="H28" s="111">
        <f t="shared" si="13"/>
        <v>24630.41872</v>
      </c>
      <c r="I28" s="112" t="s">
        <v>145</v>
      </c>
      <c r="J28" s="111">
        <f t="shared" si="14"/>
        <v>21008.29832</v>
      </c>
      <c r="K28" s="111">
        <f>IF(H28&lt;='range calculator'!$E$19,(H28+'range calculator'!$E$18)/2*(H28-'range calculator'!$E$18)/('range calculator'!$E$19-'range calculator'!$E$18)+H28*(1-(H28-'range calculator'!$E$18)/('range calculator'!$E$19-'range calculator'!$E$18)),'range calculator'!$D$20)</f>
        <v>17629</v>
      </c>
      <c r="L28" s="112" t="s">
        <v>145</v>
      </c>
      <c r="M28" s="111">
        <f>IF(J28&lt;='range calculator'!$E$19,(J28+'range calculator'!$E$18)/2*(J28-'range calculator'!$E$18)/('range calculator'!$E$19-'range calculator'!$E$18)+J28*(1-(J28-'range calculator'!$E$18)/('range calculator'!$E$19-'range calculator'!$E$18)),'range calculator'!$D$20)</f>
        <v>17629</v>
      </c>
      <c r="N28" s="111">
        <f>IF('range calculator'!$D$13="Yes",E28%*0.85*K28+G28%*0.15*M28, E28%*K28)</f>
        <v>146849.57</v>
      </c>
      <c r="O28" s="111">
        <f t="shared" si="12"/>
        <v>233094.5556</v>
      </c>
      <c r="Q28" s="113"/>
      <c r="R28" s="113"/>
      <c r="S28" s="113"/>
      <c r="T28" s="113"/>
      <c r="U28" s="113"/>
      <c r="V28" s="113"/>
    </row>
    <row r="29">
      <c r="A29" s="107" t="s">
        <v>168</v>
      </c>
      <c r="B29" s="123" t="s">
        <v>170</v>
      </c>
      <c r="C29" s="108">
        <f>VLOOKUP('range calculator'!$E$11,'Attack Speed'!$A$2:AI$7,3,true)</f>
        <v>0.6</v>
      </c>
      <c r="D29" s="115">
        <f>IF('range calculator'!$B$34="Yes",'range calculator'!$D$34,580)</f>
        <v>580</v>
      </c>
      <c r="E29" s="110">
        <f>D29*1.3*IF('range calculator'!$D$16="Yes",1.5,1)</f>
        <v>754</v>
      </c>
      <c r="F29" s="116" t="s">
        <v>145</v>
      </c>
      <c r="G29" s="124">
        <f>D29*1.3+140*IF('range calculator'!$D$16="Yes",1.5,1)</f>
        <v>894</v>
      </c>
      <c r="H29" s="111">
        <f t="shared" si="13"/>
        <v>26525.06631</v>
      </c>
      <c r="I29" s="112" t="s">
        <v>145</v>
      </c>
      <c r="J29" s="111">
        <f t="shared" si="14"/>
        <v>22371.2528</v>
      </c>
      <c r="K29" s="111">
        <f>IF(H29&lt;='range calculator'!$E$19,(H29+'range calculator'!$E$18)/2*(H29-'range calculator'!$E$18)/('range calculator'!$E$19-'range calculator'!$E$18)+H29*(1-(H29-'range calculator'!$E$18)/('range calculator'!$E$19-'range calculator'!$E$18)),'range calculator'!$D$20)</f>
        <v>17629</v>
      </c>
      <c r="L29" s="112" t="s">
        <v>145</v>
      </c>
      <c r="M29" s="111">
        <f>IF(J29&lt;='range calculator'!$E$19,(J29+'range calculator'!$E$18)/2*(J29-'range calculator'!$E$18)/('range calculator'!$E$19-'range calculator'!$E$18)+J29*(1-(J29-'range calculator'!$E$18)/('range calculator'!$E$19-'range calculator'!$E$18)),'range calculator'!$D$20)</f>
        <v>17629</v>
      </c>
      <c r="N29" s="111">
        <f>IF('range calculator'!$D$13="Yes",E29%*0.85*K29+G29%*0.15*M29, E29%*K29)</f>
        <v>136624.75</v>
      </c>
      <c r="O29" s="111">
        <f t="shared" si="12"/>
        <v>227707.9167</v>
      </c>
      <c r="Q29" s="125"/>
      <c r="R29" s="113"/>
      <c r="S29" s="113"/>
      <c r="T29" s="113"/>
      <c r="U29" s="113"/>
      <c r="V29" s="113"/>
    </row>
    <row r="30">
      <c r="A30" s="107"/>
      <c r="B30" s="123" t="s">
        <v>171</v>
      </c>
      <c r="C30" s="108">
        <f>VLOOKUP('range calculator'!$E$11,'Attack Speed'!$A$2:AI$7,5,true)</f>
        <v>0.63</v>
      </c>
      <c r="D30" s="115">
        <f>IF('range calculator'!$B$34="Yes",'range calculator'!$D$34,580)</f>
        <v>580</v>
      </c>
      <c r="E30" s="124">
        <f>D30*1.4*IF('range calculator'!$D$16="Yes",1.5,1)</f>
        <v>812</v>
      </c>
      <c r="F30" s="126" t="s">
        <v>145</v>
      </c>
      <c r="G30" s="124">
        <f>D30*1.4+140*IF('range calculator'!$D$16="Yes",1.5,1)</f>
        <v>952</v>
      </c>
      <c r="H30" s="111">
        <f t="shared" si="13"/>
        <v>24630.41872</v>
      </c>
      <c r="I30" s="111"/>
      <c r="J30" s="111">
        <f t="shared" si="14"/>
        <v>21008.29832</v>
      </c>
      <c r="K30" s="111">
        <f>IF(H30&lt;='range calculator'!$E$19,(H30+'range calculator'!$E$18)/2*(H30-'range calculator'!$E$18)/('range calculator'!$E$19-'range calculator'!$E$18)+H30*(1-(H30-'range calculator'!$E$18)/('range calculator'!$E$19-'range calculator'!$E$18)),AVERAGE('range calculator'!$E$18,'range calculator'!$E$19))</f>
        <v>17629</v>
      </c>
      <c r="L30" s="112" t="s">
        <v>145</v>
      </c>
      <c r="M30" s="111">
        <f>IF(J30&lt;='range calculator'!$E$19,(J30+'range calculator'!$E$18)/2*(J30-'range calculator'!$E$18)/('range calculator'!$E$19-'range calculator'!$E$18)+J30*(1-(J30-'range calculator'!$E$18)/('range calculator'!$E$19-'range calculator'!$E$18)),AVERAGE('range calculator'!$E$18,'range calculator'!$E$19))</f>
        <v>17629</v>
      </c>
      <c r="N30" s="111">
        <f>IF('range calculator'!$D$13="Yes",E30%*0.85*K30+G30%*0.15*M30, E30%*K30)</f>
        <v>146849.57</v>
      </c>
      <c r="O30" s="111">
        <f t="shared" si="12"/>
        <v>233094.5556</v>
      </c>
      <c r="Q30" s="113"/>
      <c r="R30" s="113"/>
      <c r="S30" s="113"/>
      <c r="T30" s="113"/>
      <c r="U30" s="113"/>
      <c r="V30" s="113"/>
    </row>
    <row r="31">
      <c r="A31" s="107"/>
      <c r="B31" s="123" t="s">
        <v>172</v>
      </c>
      <c r="C31" s="108">
        <f>VLOOKUP('range calculator'!$E$11,'Attack Speed'!$A$2:AI$7,5,true)</f>
        <v>0.63</v>
      </c>
      <c r="D31" s="115">
        <f>IF('range calculator'!$B$34="Yes",'range calculator'!$D$34,580)</f>
        <v>580</v>
      </c>
      <c r="E31" s="124">
        <f>D31*1.4*IF('range calculator'!$D$16="Yes",1.5,1)</f>
        <v>812</v>
      </c>
      <c r="F31" s="126" t="s">
        <v>145</v>
      </c>
      <c r="G31" s="124">
        <f>D30*1.4+140*IF('range calculator'!$D$16="Yes",1.5,1)</f>
        <v>952</v>
      </c>
      <c r="H31" s="111">
        <f t="shared" si="13"/>
        <v>24630.41872</v>
      </c>
      <c r="I31" s="111"/>
      <c r="J31" s="111">
        <f t="shared" si="14"/>
        <v>21008.29832</v>
      </c>
      <c r="K31" s="111" t="str">
        <f>IF(H31&lt;='range calculator'!$F$19,(H31+'range calculator'!$F$18)/2*(H31-'range calculator'!$F$18)/('range calculator'!$F$19-'range calculator'!$F$18)+H31*(1-(H31-'range calculator'!$F$18)/('range calculator'!$F$19-'range calculator'!$F$18)),AVERAGE('range calculator'!$F$18,'range calculator'!$F$19))</f>
        <v>#DIV/0!</v>
      </c>
      <c r="L31" s="112" t="s">
        <v>145</v>
      </c>
      <c r="M31" s="111" t="str">
        <f>IF(J31&lt;='range calculator'!$F$19,(J31+'range calculator'!$F$18)/2*(J31-'range calculator'!$F$18)/('range calculator'!$E$19-'range calculator'!$F$18)+J31*(1-(J31-'range calculator'!$F$18)/('range calculator'!$F$19-'range calculator'!$F$18)),AVERAGE('range calculator'!$F$18,'range calculator'!$F$19))</f>
        <v>#DIV/0!</v>
      </c>
      <c r="N31" s="111" t="str">
        <f>IF('range calculator'!$D$13="Yes",E31%*0.85*K31+G31%*0.15*M31, E31%*K31)</f>
        <v>#DIV/0!</v>
      </c>
      <c r="O31" s="111" t="str">
        <f t="shared" si="12"/>
        <v>#DIV/0!</v>
      </c>
      <c r="Q31" s="113"/>
      <c r="R31" s="113"/>
      <c r="S31" s="113"/>
      <c r="T31" s="113"/>
      <c r="U31" s="113"/>
      <c r="V31" s="113"/>
    </row>
    <row r="32">
      <c r="A32" s="107" t="s">
        <v>168</v>
      </c>
      <c r="B32" s="123" t="s">
        <v>173</v>
      </c>
      <c r="C32" s="108">
        <f>VLOOKUP('range calculator'!$E$11,'Attack Speed'!$A$2:AI$7,5,true)</f>
        <v>0.63</v>
      </c>
      <c r="D32" s="109"/>
      <c r="E32" s="126" t="s">
        <v>145</v>
      </c>
      <c r="F32" s="126" t="s">
        <v>145</v>
      </c>
      <c r="G32" s="126" t="s">
        <v>145</v>
      </c>
      <c r="H32" s="116" t="s">
        <v>145</v>
      </c>
      <c r="I32" s="116" t="s">
        <v>145</v>
      </c>
      <c r="J32" s="116" t="s">
        <v>145</v>
      </c>
      <c r="K32" s="116" t="s">
        <v>145</v>
      </c>
      <c r="L32" s="112" t="s">
        <v>145</v>
      </c>
      <c r="M32" s="116" t="s">
        <v>145</v>
      </c>
      <c r="N32" s="111" t="str">
        <f>(N30*3+N31*2)/5</f>
        <v>#DIV/0!</v>
      </c>
      <c r="O32" s="111" t="str">
        <f t="shared" si="12"/>
        <v>#DIV/0!</v>
      </c>
      <c r="Q32" s="113"/>
      <c r="R32" s="113"/>
      <c r="S32" s="113"/>
      <c r="T32" s="113"/>
      <c r="U32" s="113"/>
      <c r="V32" s="113"/>
    </row>
    <row r="33">
      <c r="A33" s="118"/>
      <c r="B33" s="123" t="s">
        <v>174</v>
      </c>
      <c r="C33" s="108">
        <f>VLOOKUP('range calculator'!$E$11,'Attack Speed'!$A$2:AI$7,5,true)</f>
        <v>0.63</v>
      </c>
      <c r="D33" s="115">
        <f>IF('range calculator'!$B$34="Yes",'range calculator'!$D$34,580)</f>
        <v>580</v>
      </c>
      <c r="E33" s="127">
        <f>D33*1.3*IF('range calculator'!$D$16="Yes",1.5,1)</f>
        <v>754</v>
      </c>
      <c r="F33" s="127" t="s">
        <v>145</v>
      </c>
      <c r="G33" s="127">
        <f>D30*1.3+140*IF('range calculator'!$D$16="Yes",1.5,1)</f>
        <v>894</v>
      </c>
      <c r="H33" s="111">
        <f t="shared" ref="H33:H34" si="15">$B$1/(E33%)</f>
        <v>26525.06631</v>
      </c>
      <c r="I33" s="111"/>
      <c r="J33" s="111">
        <f t="shared" ref="J33:J34" si="16">$B$1/(G33%)</f>
        <v>22371.2528</v>
      </c>
      <c r="K33" s="111">
        <f>IF(H33&lt;='range calculator'!$E$19,(H33+'range calculator'!$E$18)/2*(H33-'range calculator'!$E$18)/('range calculator'!$E$19-'range calculator'!$E$18)+H33*(1-(H33-'range calculator'!$E$18)/('range calculator'!$E$19-'range calculator'!$E$18)),AVERAGE('range calculator'!$E$18,'range calculator'!$E$19))</f>
        <v>17629</v>
      </c>
      <c r="L33" s="111" t="s">
        <v>145</v>
      </c>
      <c r="M33" s="111">
        <f>IF(J33&lt;='range calculator'!$E$19,(J33+'range calculator'!$E$18)/2*(J33-'range calculator'!$E$18)/('range calculator'!$E$19-'range calculator'!$E$18)+J33*(1-(J33-'range calculator'!$E$18)/('range calculator'!$E$19-'range calculator'!$E$18)),AVERAGE('range calculator'!$E$18,'range calculator'!$E$19))</f>
        <v>17629</v>
      </c>
      <c r="N33" s="111">
        <f>IF('range calculator'!$D$13="Yes",E33%*0.85*K33+G33%*0.15*M33, E33%*K33)</f>
        <v>136624.75</v>
      </c>
      <c r="O33" s="111">
        <f t="shared" si="12"/>
        <v>216864.6825</v>
      </c>
      <c r="P33" s="120"/>
      <c r="Q33" s="120"/>
      <c r="R33" s="121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</row>
    <row r="34">
      <c r="A34" s="118"/>
      <c r="B34" s="123" t="s">
        <v>175</v>
      </c>
      <c r="C34" s="108">
        <f>VLOOKUP('range calculator'!$E$11,'Attack Speed'!$A$2:AI$7,5,true)</f>
        <v>0.63</v>
      </c>
      <c r="D34" s="115">
        <f>IF('range calculator'!$B$34="Yes",'range calculator'!$D$34,580)</f>
        <v>580</v>
      </c>
      <c r="E34" s="127">
        <f>D34*1.3*IF('range calculator'!$D$16="Yes",1.5,1)</f>
        <v>754</v>
      </c>
      <c r="F34" s="127" t="s">
        <v>145</v>
      </c>
      <c r="G34" s="127">
        <f>D30*1.3+140*IF('range calculator'!$D$16="Yes",1.5,1)</f>
        <v>894</v>
      </c>
      <c r="H34" s="111">
        <f t="shared" si="15"/>
        <v>26525.06631</v>
      </c>
      <c r="I34" s="111"/>
      <c r="J34" s="111">
        <f t="shared" si="16"/>
        <v>22371.2528</v>
      </c>
      <c r="K34" s="111" t="str">
        <f>IF(H34&lt;='range calculator'!$F$19,(H34+'range calculator'!$F$18)/2*(H34-'range calculator'!$F$18)/('range calculator'!$F$19-'range calculator'!$F$18)+H34*(1-(H34-'range calculator'!$F$18)/('range calculator'!$F$19-'range calculator'!$F$18)),AVERAGE('range calculator'!$F$18,'range calculator'!$F$19))</f>
        <v>#DIV/0!</v>
      </c>
      <c r="L34" s="111" t="s">
        <v>145</v>
      </c>
      <c r="M34" s="111" t="str">
        <f>IF(J34&lt;='range calculator'!$F$19,(J34+'range calculator'!$F$18)/2*(J34-'range calculator'!$F$18)/('range calculator'!$E$19-'range calculator'!$F$18)+J34*(1-(J34-'range calculator'!$F$18)/('range calculator'!$F$19-'range calculator'!$F$18)),AVERAGE('range calculator'!$F$18,'range calculator'!$F$19))</f>
        <v>#DIV/0!</v>
      </c>
      <c r="N34" s="111" t="str">
        <f>IF('range calculator'!$D$13="Yes",E34%*0.85*K34+G34%*0.15*M34, E34%*K34)</f>
        <v>#DIV/0!</v>
      </c>
      <c r="O34" s="111" t="str">
        <f t="shared" si="12"/>
        <v>#DIV/0!</v>
      </c>
      <c r="P34" s="120"/>
      <c r="Q34" s="120"/>
      <c r="R34" s="121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</row>
    <row r="35">
      <c r="A35" s="118" t="s">
        <v>168</v>
      </c>
      <c r="B35" s="123" t="s">
        <v>176</v>
      </c>
      <c r="C35" s="108">
        <f>VLOOKUP('range calculator'!$E$11,'Attack Speed'!$A$2:AI$7,5,true)</f>
        <v>0.63</v>
      </c>
      <c r="D35" s="109"/>
      <c r="E35" s="128" t="s">
        <v>145</v>
      </c>
      <c r="F35" s="128" t="s">
        <v>145</v>
      </c>
      <c r="G35" s="127" t="s">
        <v>145</v>
      </c>
      <c r="H35" s="128" t="s">
        <v>145</v>
      </c>
      <c r="I35" s="128" t="s">
        <v>145</v>
      </c>
      <c r="J35" s="128" t="s">
        <v>145</v>
      </c>
      <c r="K35" s="128" t="s">
        <v>145</v>
      </c>
      <c r="L35" s="111" t="s">
        <v>145</v>
      </c>
      <c r="M35" s="128" t="s">
        <v>145</v>
      </c>
      <c r="N35" s="111" t="str">
        <f>(N33*3+N34*2)/5</f>
        <v>#DIV/0!</v>
      </c>
      <c r="O35" s="111" t="str">
        <f t="shared" si="12"/>
        <v>#DIV/0!</v>
      </c>
      <c r="P35" s="120"/>
      <c r="Q35" s="120"/>
      <c r="R35" s="121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</row>
    <row r="36">
      <c r="A36" s="107" t="s">
        <v>177</v>
      </c>
      <c r="B36" s="107" t="s">
        <v>178</v>
      </c>
      <c r="C36" s="117">
        <v>0.72</v>
      </c>
      <c r="D36" s="115">
        <f>IF('range calculator'!$B$34="Yes",'range calculator'!$D$34,240)</f>
        <v>240</v>
      </c>
      <c r="E36" s="116">
        <f>D36*IF('range calculator'!$D$16="Yes",1.5,1)</f>
        <v>240</v>
      </c>
      <c r="F36" s="116" t="s">
        <v>145</v>
      </c>
      <c r="G36" s="116">
        <f>(D36+140)*IF('range calculator'!$D$16="Yes",1.5,1)</f>
        <v>380</v>
      </c>
      <c r="H36" s="111">
        <f t="shared" ref="H36:H42" si="17">$B$1/(E36)</f>
        <v>833.3291667</v>
      </c>
      <c r="I36" s="116" t="s">
        <v>145</v>
      </c>
      <c r="J36" s="111">
        <f t="shared" ref="J36:J42" si="18">$B$1/(G36)</f>
        <v>526.3131579</v>
      </c>
      <c r="K36" s="111">
        <f>IF(H36&lt;='range calculator'!$E$19,(H36+'range calculator'!$E$18)/2*(H36-'range calculator'!$E$18)/('range calculator'!$E$19-'range calculator'!$E$18)+H36*(1-(H36-'range calculator'!$E$18)/('range calculator'!$E$19-'range calculator'!$E$18)),'range calculator'!$D$20)</f>
        <v>-16612.20295</v>
      </c>
      <c r="L36" s="116" t="s">
        <v>145</v>
      </c>
      <c r="M36" s="111">
        <f>IF(J36&lt;='range calculator'!$E$19,(J36+'range calculator'!$E$18)/2*(J36-'range calculator'!$E$18)/('range calculator'!$E$19-'range calculator'!$E$18)+J36*(1-(J36-'range calculator'!$E$18)/('range calculator'!$E$19-'range calculator'!$E$18)),'range calculator'!$D$20)</f>
        <v>-17693.28123</v>
      </c>
      <c r="N36" s="111">
        <f>IF('range calculator'!$D$13="Yes",E36*0.85*K36+G36*0.15*M36, E36*K36)</f>
        <v>-4397406.432</v>
      </c>
      <c r="O36" s="111">
        <f t="shared" si="12"/>
        <v>-6107508.934</v>
      </c>
      <c r="Q36" s="113"/>
      <c r="R36" s="113"/>
      <c r="S36" s="113"/>
      <c r="T36" s="113"/>
      <c r="U36" s="113"/>
      <c r="V36" s="113"/>
    </row>
    <row r="37">
      <c r="A37" s="107" t="s">
        <v>177</v>
      </c>
      <c r="B37" s="107" t="s">
        <v>179</v>
      </c>
      <c r="C37" s="117">
        <v>0.69</v>
      </c>
      <c r="D37" s="115">
        <f>IF('range calculator'!$B$34="Yes",'range calculator'!$D$34,210)</f>
        <v>210</v>
      </c>
      <c r="E37" s="116">
        <f>D37*IF('range calculator'!$D$16="Yes",1.5,1)</f>
        <v>210</v>
      </c>
      <c r="F37" s="116" t="s">
        <v>145</v>
      </c>
      <c r="G37" s="116">
        <f>(D37+140)*IF('range calculator'!$D$16="Yes",1.5,1)</f>
        <v>350</v>
      </c>
      <c r="H37" s="111">
        <f t="shared" si="17"/>
        <v>952.3761905</v>
      </c>
      <c r="I37" s="116" t="s">
        <v>145</v>
      </c>
      <c r="J37" s="111">
        <f t="shared" si="18"/>
        <v>571.4257143</v>
      </c>
      <c r="K37" s="111">
        <f>IF(H37&lt;='range calculator'!$E$19,(H37+'range calculator'!$E$18)/2*(H37-'range calculator'!$E$18)/('range calculator'!$E$19-'range calculator'!$E$18)+H37*(1-(H37-'range calculator'!$E$18)/('range calculator'!$E$19-'range calculator'!$E$18)),'range calculator'!$D$20)</f>
        <v>-16197.52997</v>
      </c>
      <c r="L37" s="116" t="s">
        <v>145</v>
      </c>
      <c r="M37" s="111">
        <f>IF(J37&lt;='range calculator'!$E$19,(J37+'range calculator'!$E$18)/2*(J37-'range calculator'!$E$18)/('range calculator'!$E$19-'range calculator'!$E$18)+J37*(1-(J37-'range calculator'!$E$18)/('range calculator'!$E$19-'range calculator'!$E$18)),'range calculator'!$D$20)</f>
        <v>-17533.37587</v>
      </c>
      <c r="N37" s="111">
        <f>IF('range calculator'!$D$13="Yes",E37*0.85*K37+G37*0.15*M37, E37*K37)</f>
        <v>-3811761.333</v>
      </c>
      <c r="O37" s="111">
        <f t="shared" si="12"/>
        <v>-5524291.786</v>
      </c>
      <c r="Q37" s="113"/>
      <c r="R37" s="113"/>
      <c r="S37" s="113"/>
      <c r="T37" s="113"/>
      <c r="U37" s="113"/>
      <c r="V37" s="113"/>
    </row>
    <row r="38">
      <c r="A38" s="107" t="s">
        <v>177</v>
      </c>
      <c r="B38" s="107" t="s">
        <v>180</v>
      </c>
      <c r="C38" s="117">
        <v>0.69</v>
      </c>
      <c r="D38" s="115">
        <f>IF('range calculator'!$B$34="Yes",'range calculator'!$D$34,210)</f>
        <v>210</v>
      </c>
      <c r="E38" s="116">
        <f>D38*IF('range calculator'!$D$16="Yes",1.5,1)</f>
        <v>210</v>
      </c>
      <c r="F38" s="116" t="s">
        <v>145</v>
      </c>
      <c r="G38" s="116">
        <f>(D38+140)*IF('range calculator'!$D$16="Yes",1.5,1)</f>
        <v>350</v>
      </c>
      <c r="H38" s="111">
        <f t="shared" si="17"/>
        <v>952.3761905</v>
      </c>
      <c r="I38" s="116" t="s">
        <v>145</v>
      </c>
      <c r="J38" s="111">
        <f t="shared" si="18"/>
        <v>571.4257143</v>
      </c>
      <c r="K38" s="111">
        <f>IF(H38&lt;='range calculator'!$E$19,(H38+'range calculator'!$E$18)/2*(H38-'range calculator'!$E$18)/('range calculator'!$E$19-'range calculator'!$E$18)+H38*(1-(H38-'range calculator'!$E$18)/('range calculator'!$E$19-'range calculator'!$E$18)),'range calculator'!$D$20)</f>
        <v>-16197.52997</v>
      </c>
      <c r="L38" s="116" t="s">
        <v>145</v>
      </c>
      <c r="M38" s="111">
        <f>IF(J38&lt;='range calculator'!$E$19,(J38+'range calculator'!$E$18)/2*(J38-'range calculator'!$E$18)/('range calculator'!$E$19-'range calculator'!$E$18)+J38*(1-(J38-'range calculator'!$E$18)/('range calculator'!$E$19-'range calculator'!$E$18)),'range calculator'!$D$20)</f>
        <v>-17533.37587</v>
      </c>
      <c r="N38" s="111">
        <f>IF('range calculator'!$D$13="Yes",E38*0.85*K38+G38*0.15*M38, E38*K38)</f>
        <v>-3811761.333</v>
      </c>
      <c r="O38" s="111">
        <f t="shared" si="12"/>
        <v>-5524291.786</v>
      </c>
      <c r="Q38" s="113"/>
      <c r="R38" s="113"/>
      <c r="S38" s="113"/>
      <c r="T38" s="113"/>
      <c r="U38" s="113"/>
      <c r="V38" s="113"/>
    </row>
    <row r="39">
      <c r="A39" s="107" t="s">
        <v>177</v>
      </c>
      <c r="B39" s="107" t="s">
        <v>181</v>
      </c>
      <c r="C39" s="117">
        <v>3.06</v>
      </c>
      <c r="D39" s="115">
        <f>IF('range calculator'!$B$34="Yes",'range calculator'!$D$34,570)</f>
        <v>570</v>
      </c>
      <c r="E39" s="116">
        <f>D39*IF('range calculator'!$D$16="Yes",1.5,1)</f>
        <v>570</v>
      </c>
      <c r="F39" s="116" t="s">
        <v>145</v>
      </c>
      <c r="G39" s="116">
        <f>(D39+140)*IF('range calculator'!$D$16="Yes",1.5,1)</f>
        <v>710</v>
      </c>
      <c r="H39" s="111">
        <f t="shared" si="17"/>
        <v>350.8754386</v>
      </c>
      <c r="I39" s="116" t="s">
        <v>145</v>
      </c>
      <c r="J39" s="111">
        <f t="shared" si="18"/>
        <v>281.6887324</v>
      </c>
      <c r="K39" s="111">
        <f>IF(H39&lt;='range calculator'!$E$19,(H39+'range calculator'!$E$18)/2*(H39-'range calculator'!$E$18)/('range calculator'!$E$19-'range calculator'!$E$18)+H39*(1-(H39-'range calculator'!$E$18)/('range calculator'!$E$19-'range calculator'!$E$18)),'range calculator'!$D$20)</f>
        <v>-18318.58397</v>
      </c>
      <c r="L39" s="116" t="s">
        <v>145</v>
      </c>
      <c r="M39" s="111">
        <f>IF(J39&lt;='range calculator'!$E$19,(J39+'range calculator'!$E$18)/2*(J39-'range calculator'!$E$18)/('range calculator'!$E$19-'range calculator'!$E$18)+J39*(1-(J39-'range calculator'!$E$18)/('range calculator'!$E$19-'range calculator'!$E$18)),'range calculator'!$D$20)</f>
        <v>-18566.69068</v>
      </c>
      <c r="N39" s="111">
        <f>IF('range calculator'!$D$13="Yes",E39*0.85*K39+G39*0.15*M39, E39*K39)</f>
        <v>-10852706.49</v>
      </c>
      <c r="O39" s="111">
        <f t="shared" si="12"/>
        <v>-3546636.108</v>
      </c>
      <c r="Q39" s="113"/>
      <c r="R39" s="113"/>
      <c r="S39" s="113"/>
      <c r="T39" s="113"/>
      <c r="U39" s="113"/>
      <c r="V39" s="113"/>
    </row>
    <row r="40">
      <c r="A40" s="106" t="s">
        <v>177</v>
      </c>
      <c r="B40" s="107" t="s">
        <v>182</v>
      </c>
      <c r="C40" s="117">
        <v>3.06</v>
      </c>
      <c r="D40" s="115">
        <f>IF('range calculator'!$B$34="Yes",'range calculator'!$D$34,570)</f>
        <v>570</v>
      </c>
      <c r="E40" s="116">
        <f>D40*IF('range calculator'!$D$16="Yes",1.5,1)</f>
        <v>570</v>
      </c>
      <c r="F40" s="116" t="s">
        <v>145</v>
      </c>
      <c r="G40" s="116">
        <f>(D40+140)*IF('range calculator'!$D$16="Yes",1.5,1)</f>
        <v>710</v>
      </c>
      <c r="H40" s="111">
        <f t="shared" si="17"/>
        <v>350.8754386</v>
      </c>
      <c r="I40" s="116" t="s">
        <v>145</v>
      </c>
      <c r="J40" s="111">
        <f t="shared" si="18"/>
        <v>281.6887324</v>
      </c>
      <c r="K40" s="111">
        <f>IF(H40&lt;='range calculator'!$E$19,(H40+'range calculator'!$E$18)/2*(H40-'range calculator'!$E$18)/('range calculator'!$E$19-'range calculator'!$E$18)+H40*(1-(H40-'range calculator'!$E$18)/('range calculator'!$E$19-'range calculator'!$E$18)),'range calculator'!$D$20)</f>
        <v>-18318.58397</v>
      </c>
      <c r="L40" s="116" t="s">
        <v>145</v>
      </c>
      <c r="M40" s="111">
        <f>IF(J40&lt;='range calculator'!$E$19,(J40+'range calculator'!$E$18)/2*(J40-'range calculator'!$E$18)/('range calculator'!$E$19-'range calculator'!$E$18)+J40*(1-(J40-'range calculator'!$E$18)/('range calculator'!$E$19-'range calculator'!$E$18)),'range calculator'!$D$20)</f>
        <v>-18566.69068</v>
      </c>
      <c r="N40" s="111">
        <f>IF('range calculator'!$D$13="Yes",E40*0.85*K40+G40*0.15*M40, E40*K40)</f>
        <v>-10852706.49</v>
      </c>
      <c r="O40" s="111">
        <f t="shared" si="12"/>
        <v>-3546636.108</v>
      </c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</row>
    <row r="41">
      <c r="A41" s="107" t="s">
        <v>183</v>
      </c>
      <c r="B41" s="107" t="s">
        <v>184</v>
      </c>
      <c r="C41" s="117">
        <v>2.7</v>
      </c>
      <c r="D41" s="115">
        <f>IF('range calculator'!$B$34="Yes",'range calculator'!$D$34,670)</f>
        <v>670</v>
      </c>
      <c r="E41" s="116">
        <f>D41*IF('range calculator'!$D$16="Yes",1.5,1)</f>
        <v>670</v>
      </c>
      <c r="F41" s="116" t="s">
        <v>145</v>
      </c>
      <c r="G41" s="116">
        <f>(D41+140)*IF('range calculator'!$D$16="Yes",1.5,1)</f>
        <v>810</v>
      </c>
      <c r="H41" s="111">
        <f t="shared" si="17"/>
        <v>298.5059701</v>
      </c>
      <c r="I41" s="116" t="s">
        <v>145</v>
      </c>
      <c r="J41" s="111">
        <f t="shared" si="18"/>
        <v>246.9123457</v>
      </c>
      <c r="K41" s="111">
        <f>IF(H41&lt;='range calculator'!$E$19,(H41+'range calculator'!$E$18)/2*(H41-'range calculator'!$E$18)/('range calculator'!$E$19-'range calculator'!$E$18)+H41*(1-(H41-'range calculator'!$E$18)/('range calculator'!$E$19-'range calculator'!$E$18)),'range calculator'!$D$20)</f>
        <v>-18506.3048</v>
      </c>
      <c r="L41" s="116" t="s">
        <v>145</v>
      </c>
      <c r="M41" s="111">
        <f>IF(J41&lt;='range calculator'!$E$19,(J41+'range calculator'!$E$18)/2*(J41-'range calculator'!$E$18)/('range calculator'!$E$19-'range calculator'!$E$18)+J41*(1-(J41-'range calculator'!$E$18)/('range calculator'!$E$19-'range calculator'!$E$18)),'range calculator'!$D$20)</f>
        <v>-18691.72263</v>
      </c>
      <c r="N41" s="111">
        <f>IF('range calculator'!$D$13="Yes",E41*0.85*K41+G41*0.15*M41, E41*K41)</f>
        <v>-12810384.88</v>
      </c>
      <c r="O41" s="111">
        <f t="shared" si="12"/>
        <v>-4744586.993</v>
      </c>
      <c r="Q41" s="113"/>
      <c r="R41" s="113"/>
      <c r="S41" s="113"/>
      <c r="T41" s="113"/>
      <c r="U41" s="113"/>
      <c r="V41" s="113"/>
    </row>
    <row r="42">
      <c r="A42" s="107" t="s">
        <v>183</v>
      </c>
      <c r="B42" s="107" t="s">
        <v>185</v>
      </c>
      <c r="C42" s="117">
        <v>0.81</v>
      </c>
      <c r="D42" s="115">
        <f>IF('range calculator'!$B$34="Yes",'range calculator'!$D$34,240)</f>
        <v>240</v>
      </c>
      <c r="E42" s="116">
        <f>D42*IF('range calculator'!$D$16="Yes",1.5,1)</f>
        <v>240</v>
      </c>
      <c r="F42" s="116" t="s">
        <v>145</v>
      </c>
      <c r="G42" s="116">
        <f>(D42+140)*IF('range calculator'!$D$16="Yes",1.5,1)</f>
        <v>380</v>
      </c>
      <c r="H42" s="111">
        <f t="shared" si="17"/>
        <v>833.3291667</v>
      </c>
      <c r="I42" s="116" t="s">
        <v>145</v>
      </c>
      <c r="J42" s="111">
        <f t="shared" si="18"/>
        <v>526.3131579</v>
      </c>
      <c r="K42" s="111">
        <f>IF(H42&lt;='range calculator'!$E$19,(H42+'range calculator'!$E$18)/2*(H42-'range calculator'!$E$18)/('range calculator'!$E$19-'range calculator'!$E$18)+H42*(1-(H42-'range calculator'!$E$18)/('range calculator'!$E$19-'range calculator'!$E$18)),'range calculator'!$D$20)</f>
        <v>-16612.20295</v>
      </c>
      <c r="L42" s="116" t="s">
        <v>145</v>
      </c>
      <c r="M42" s="111">
        <f>IF(J42&lt;='range calculator'!$E$19,(J42+'range calculator'!$E$18)/2*(J42-'range calculator'!$E$18)/('range calculator'!$E$19-'range calculator'!$E$18)+J42*(1-(J42-'range calculator'!$E$18)/('range calculator'!$E$19-'range calculator'!$E$18)),'range calculator'!$D$20)</f>
        <v>-17693.28123</v>
      </c>
      <c r="N42" s="111">
        <f>IF('range calculator'!$D$13="Yes",E42*0.85*K42+G42*0.15*M42, E42*K42)</f>
        <v>-4397406.432</v>
      </c>
      <c r="O42" s="111">
        <f t="shared" si="12"/>
        <v>-5428896.83</v>
      </c>
      <c r="Q42" s="113"/>
      <c r="R42" s="113"/>
      <c r="S42" s="113"/>
      <c r="T42" s="113"/>
      <c r="U42" s="113"/>
      <c r="V42" s="113"/>
    </row>
    <row r="43">
      <c r="A43" s="107" t="s">
        <v>186</v>
      </c>
      <c r="B43" s="107" t="s">
        <v>187</v>
      </c>
      <c r="C43" s="117">
        <v>0.69</v>
      </c>
      <c r="D43" s="115">
        <f>IF('range calculator'!$B$34="Yes",'range calculator'!$D$34,600)</f>
        <v>600</v>
      </c>
      <c r="E43" s="116">
        <f>D43*IF('range calculator'!$D$16="Yes",1.5,1)</f>
        <v>600</v>
      </c>
      <c r="F43" s="116" t="s">
        <v>145</v>
      </c>
      <c r="G43" s="116">
        <f>(D43+140)*IF('range calculator'!$D$16="Yes",1.5,1)</f>
        <v>740</v>
      </c>
      <c r="H43" s="111">
        <f t="shared" ref="H43:H46" si="19">$B$1/(E43%)</f>
        <v>33333.16667</v>
      </c>
      <c r="I43" s="116" t="s">
        <v>145</v>
      </c>
      <c r="J43" s="111">
        <f t="shared" ref="J43:J46" si="20">$B$1/(G43%)</f>
        <v>27026.89189</v>
      </c>
      <c r="K43" s="111">
        <f>IF(H43&lt;='range calculator'!$E$19,(H43+'range calculator'!$E$18)/2*(H43-'range calculator'!$E$18)/('range calculator'!$E$19-'range calculator'!$E$18)+H43*(1-(H43-'range calculator'!$E$18)/('range calculator'!$E$19-'range calculator'!$E$18)),'range calculator'!$D$20)</f>
        <v>17629</v>
      </c>
      <c r="L43" s="116" t="s">
        <v>145</v>
      </c>
      <c r="M43" s="111">
        <f>IF(J43&lt;='range calculator'!$E$19,(J43+'range calculator'!$E$18)/2*(J43-'range calculator'!$E$18)/('range calculator'!$E$19-'range calculator'!$E$18)+J43*(1-(J43-'range calculator'!$E$18)/('range calculator'!$E$19-'range calculator'!$E$18)),'range calculator'!$D$20)</f>
        <v>17629</v>
      </c>
      <c r="N43" s="111">
        <f>IF('range calculator'!$D$13="Yes",E43%*0.85*K43+G43%*0.15*M43, E43%*K43)*2</f>
        <v>218952.18</v>
      </c>
      <c r="O43" s="111">
        <f t="shared" si="12"/>
        <v>317322</v>
      </c>
      <c r="Q43" s="113"/>
      <c r="R43" s="113"/>
      <c r="S43" s="113"/>
      <c r="T43" s="113"/>
      <c r="U43" s="113"/>
      <c r="V43" s="113"/>
    </row>
    <row r="44">
      <c r="A44" s="107" t="s">
        <v>186</v>
      </c>
      <c r="B44" s="107" t="s">
        <v>188</v>
      </c>
      <c r="C44" s="117">
        <v>1.62</v>
      </c>
      <c r="D44" s="115">
        <f>IF('range calculator'!$B$34="Yes",'range calculator'!$D$34,950)</f>
        <v>950</v>
      </c>
      <c r="E44" s="116">
        <f>D44*IF('range calculator'!$D$16="Yes",1.5,1)</f>
        <v>950</v>
      </c>
      <c r="F44" s="110"/>
      <c r="G44" s="116">
        <f>(D44+140)*IF('range calculator'!$D$16="Yes",1.5,1)</f>
        <v>1090</v>
      </c>
      <c r="H44" s="111">
        <f t="shared" si="19"/>
        <v>21052.52632</v>
      </c>
      <c r="I44" s="116" t="s">
        <v>145</v>
      </c>
      <c r="J44" s="111">
        <f t="shared" si="20"/>
        <v>18348.53211</v>
      </c>
      <c r="K44" s="111">
        <f>IF(H44&lt;='range calculator'!$E$19,(H44+'range calculator'!$E$18)/2*(H44-'range calculator'!$E$18)/('range calculator'!$E$19-'range calculator'!$E$18)+H44*(1-(H44-'range calculator'!$E$18)/('range calculator'!$E$19-'range calculator'!$E$18)),'range calculator'!$D$20)</f>
        <v>17629</v>
      </c>
      <c r="L44" s="116" t="s">
        <v>145</v>
      </c>
      <c r="M44" s="111">
        <f>IF(J44&lt;='range calculator'!$E$19,(J44+'range calculator'!$E$18)/2*(J44-'range calculator'!$E$18)/('range calculator'!$E$19-'range calculator'!$E$18)+J44*(1-(J44-'range calculator'!$E$18)/('range calculator'!$E$19-'range calculator'!$E$18)),'range calculator'!$D$20)</f>
        <v>17241.37288</v>
      </c>
      <c r="N44" s="111">
        <f>IF('range calculator'!$D$13="Yes",E44%*0.85*K44+G44%*0.15*M44, E44%*K44)*3</f>
        <v>511631.459</v>
      </c>
      <c r="O44" s="111">
        <f t="shared" si="12"/>
        <v>315821.8882</v>
      </c>
      <c r="Q44" s="113"/>
      <c r="R44" s="113"/>
      <c r="S44" s="113"/>
      <c r="T44" s="113"/>
      <c r="U44" s="113"/>
      <c r="V44" s="113"/>
    </row>
    <row r="45">
      <c r="A45" s="107" t="s">
        <v>186</v>
      </c>
      <c r="B45" s="107" t="s">
        <v>189</v>
      </c>
      <c r="C45" s="117">
        <v>1.62</v>
      </c>
      <c r="D45" s="115">
        <f>IF('range calculator'!$B$34="Yes",'range calculator'!$D$34,500)</f>
        <v>500</v>
      </c>
      <c r="E45" s="116">
        <f>D45*IF('range calculator'!$D$16="Yes",1.5,1)</f>
        <v>500</v>
      </c>
      <c r="F45" s="110"/>
      <c r="G45" s="126">
        <f>(D45+140)*IF('range calculator'!$D$16="Yes",1.5,1)</f>
        <v>640</v>
      </c>
      <c r="H45" s="111">
        <f t="shared" si="19"/>
        <v>39999.8</v>
      </c>
      <c r="I45" s="116" t="s">
        <v>145</v>
      </c>
      <c r="J45" s="111">
        <f t="shared" si="20"/>
        <v>31249.84375</v>
      </c>
      <c r="K45" s="111">
        <f>IF(H45&lt;='range calculator'!$E$19,(H45+'range calculator'!$E$18)/2*(H45-'range calculator'!$E$18)/('range calculator'!$E$19-'range calculator'!$E$18)+H45*(1-(H45-'range calculator'!$E$18)/('range calculator'!$E$19-'range calculator'!$E$18)),'range calculator'!$D$20)</f>
        <v>17629</v>
      </c>
      <c r="L45" s="116" t="s">
        <v>145</v>
      </c>
      <c r="M45" s="111">
        <f>IF(J45&lt;='range calculator'!$E$19,(J45+'range calculator'!$E$18)/2*(J45-'range calculator'!$E$18)/('range calculator'!$E$19-'range calculator'!$E$18)+J45*(1-(J45-'range calculator'!$E$18)/('range calculator'!$E$19-'range calculator'!$E$18)),'range calculator'!$D$20)</f>
        <v>17629</v>
      </c>
      <c r="N45" s="111">
        <f>IF('range calculator'!$D$13="Yes",E45%*0.85*K45+G45%*0.15*M45, E45%*K45)*3</f>
        <v>275541.27</v>
      </c>
      <c r="O45" s="111">
        <f t="shared" si="12"/>
        <v>170087.2037</v>
      </c>
      <c r="Q45" s="113"/>
      <c r="R45" s="113"/>
      <c r="S45" s="113"/>
      <c r="T45" s="113"/>
      <c r="U45" s="113"/>
      <c r="V45" s="113"/>
    </row>
    <row r="46">
      <c r="A46" s="107" t="s">
        <v>186</v>
      </c>
      <c r="B46" s="107" t="s">
        <v>190</v>
      </c>
      <c r="C46" s="117">
        <v>0.72</v>
      </c>
      <c r="D46" s="115">
        <f>IF('range calculator'!$B$34="Yes",'range calculator'!$D$34,80)</f>
        <v>80</v>
      </c>
      <c r="E46" s="116">
        <f>D46*IF('range calculator'!$D$16="Yes",1.5,1)</f>
        <v>80</v>
      </c>
      <c r="F46" s="116" t="s">
        <v>145</v>
      </c>
      <c r="G46" s="116">
        <f>(D46+140)*IF('range calculator'!$D$16="Yes",1.5,1)</f>
        <v>220</v>
      </c>
      <c r="H46" s="111">
        <f t="shared" si="19"/>
        <v>249998.75</v>
      </c>
      <c r="I46" s="116" t="s">
        <v>145</v>
      </c>
      <c r="J46" s="111">
        <f t="shared" si="20"/>
        <v>90908.63636</v>
      </c>
      <c r="K46" s="111">
        <f>IF(H46&lt;='range calculator'!$E$19,(H46+'range calculator'!$E$18)/2*(H46-'range calculator'!$E$18)/('range calculator'!$E$19-'range calculator'!$E$18)+H46*(1-(H46-'range calculator'!$E$18)/('range calculator'!$E$19-'range calculator'!$E$18)),'range calculator'!$D$20)</f>
        <v>17629</v>
      </c>
      <c r="L46" s="116" t="s">
        <v>145</v>
      </c>
      <c r="M46" s="111">
        <f>IF(J46&lt;='range calculator'!$E$19,(J46+'range calculator'!$E$18)/2*(J46-'range calculator'!$E$18)/('range calculator'!$E$19-'range calculator'!$E$18)+J46*(1-(J46-'range calculator'!$E$18)/('range calculator'!$E$19-'range calculator'!$E$18)),'range calculator'!$D$20)</f>
        <v>17629</v>
      </c>
      <c r="N46" s="111">
        <f>IF('range calculator'!$D$13="Yes",E46%*0.85*K46+G46%*0.15*M46, E46%*K46)*6</f>
        <v>106831.74</v>
      </c>
      <c r="O46" s="111">
        <f t="shared" si="12"/>
        <v>148377.4167</v>
      </c>
      <c r="Q46" s="113"/>
      <c r="R46" s="113"/>
      <c r="S46" s="113"/>
      <c r="T46" s="113"/>
      <c r="U46" s="113"/>
      <c r="V46" s="113"/>
    </row>
    <row r="47">
      <c r="A47" s="107" t="s">
        <v>186</v>
      </c>
      <c r="B47" s="129" t="s">
        <v>191</v>
      </c>
      <c r="C47" s="117">
        <v>0.75</v>
      </c>
      <c r="D47" s="115"/>
      <c r="E47" s="116" t="s">
        <v>145</v>
      </c>
      <c r="F47" s="116" t="s">
        <v>145</v>
      </c>
      <c r="G47" s="116" t="s">
        <v>145</v>
      </c>
      <c r="H47" s="116" t="s">
        <v>145</v>
      </c>
      <c r="I47" s="116" t="s">
        <v>145</v>
      </c>
      <c r="J47" s="116" t="s">
        <v>145</v>
      </c>
      <c r="K47" s="116" t="s">
        <v>145</v>
      </c>
      <c r="L47" s="116" t="s">
        <v>145</v>
      </c>
      <c r="M47" s="116" t="s">
        <v>145</v>
      </c>
      <c r="N47" s="116" t="s">
        <v>145</v>
      </c>
      <c r="O47" s="111" t="str">
        <f>'meso explosion'!$D$7/(VLOOKUP(B47,'range calculator'!$C$23:$E$25,3,FALSE)/(1-VLOOKUP(B47,'range calculator'!$C$23:$E$25,3,FALSE)))
</f>
        <v>#N/A</v>
      </c>
      <c r="Q47" s="113"/>
      <c r="R47" s="113"/>
      <c r="S47" s="113"/>
      <c r="T47" s="113"/>
      <c r="U47" s="113"/>
      <c r="V47" s="113"/>
    </row>
    <row r="48" ht="17.25" customHeight="1">
      <c r="A48" s="107" t="s">
        <v>186</v>
      </c>
      <c r="B48" s="123" t="s">
        <v>192</v>
      </c>
      <c r="C48" s="117">
        <f>$C$44+$C$43</f>
        <v>2.31</v>
      </c>
      <c r="D48" s="115"/>
      <c r="E48" s="116" t="s">
        <v>145</v>
      </c>
      <c r="F48" s="116" t="s">
        <v>145</v>
      </c>
      <c r="G48" s="116" t="s">
        <v>145</v>
      </c>
      <c r="H48" s="116" t="s">
        <v>145</v>
      </c>
      <c r="I48" s="116" t="s">
        <v>145</v>
      </c>
      <c r="J48" s="116" t="s">
        <v>145</v>
      </c>
      <c r="K48" s="116" t="s">
        <v>145</v>
      </c>
      <c r="L48" s="116" t="s">
        <v>145</v>
      </c>
      <c r="M48" s="116" t="s">
        <v>145</v>
      </c>
      <c r="N48" s="112">
        <f>$N$43+$N$44</f>
        <v>730583.639</v>
      </c>
      <c r="O48" s="111">
        <f t="shared" ref="O48:O50" si="21">N48/C48</f>
        <v>316269.9736</v>
      </c>
      <c r="Q48" s="113"/>
      <c r="R48" s="113"/>
      <c r="S48" s="113"/>
      <c r="T48" s="113"/>
      <c r="U48" s="113"/>
      <c r="V48" s="113"/>
    </row>
    <row r="49" ht="17.25" customHeight="1">
      <c r="A49" s="107" t="s">
        <v>186</v>
      </c>
      <c r="B49" s="123" t="s">
        <v>193</v>
      </c>
      <c r="C49" s="117">
        <f>C46+C44</f>
        <v>2.34</v>
      </c>
      <c r="D49" s="115"/>
      <c r="E49" s="116" t="s">
        <v>145</v>
      </c>
      <c r="F49" s="116" t="s">
        <v>145</v>
      </c>
      <c r="G49" s="116" t="s">
        <v>145</v>
      </c>
      <c r="H49" s="116" t="s">
        <v>145</v>
      </c>
      <c r="I49" s="116" t="s">
        <v>145</v>
      </c>
      <c r="J49" s="116" t="s">
        <v>145</v>
      </c>
      <c r="K49" s="116" t="s">
        <v>145</v>
      </c>
      <c r="L49" s="116" t="s">
        <v>145</v>
      </c>
      <c r="M49" s="116" t="s">
        <v>145</v>
      </c>
      <c r="N49" s="112">
        <f>$N$44+$N$46</f>
        <v>618463.199</v>
      </c>
      <c r="O49" s="111">
        <f t="shared" si="21"/>
        <v>264300.5124</v>
      </c>
      <c r="Q49" s="113"/>
      <c r="R49" s="113"/>
      <c r="S49" s="113"/>
      <c r="T49" s="113"/>
      <c r="U49" s="113"/>
      <c r="V49" s="113"/>
    </row>
    <row r="50" ht="17.25" customHeight="1">
      <c r="A50" s="107" t="s">
        <v>186</v>
      </c>
      <c r="B50" s="123" t="s">
        <v>194</v>
      </c>
      <c r="C50" s="117">
        <f>$C$44+$C$43</f>
        <v>2.31</v>
      </c>
      <c r="D50" s="115"/>
      <c r="E50" s="116" t="s">
        <v>145</v>
      </c>
      <c r="F50" s="116" t="s">
        <v>145</v>
      </c>
      <c r="G50" s="116" t="s">
        <v>145</v>
      </c>
      <c r="H50" s="116" t="s">
        <v>145</v>
      </c>
      <c r="I50" s="116" t="s">
        <v>145</v>
      </c>
      <c r="J50" s="116" t="s">
        <v>145</v>
      </c>
      <c r="K50" s="116" t="s">
        <v>145</v>
      </c>
      <c r="L50" s="116" t="s">
        <v>145</v>
      </c>
      <c r="M50" s="116" t="s">
        <v>145</v>
      </c>
      <c r="N50" s="112">
        <f>$N$43+$N$45</f>
        <v>494493.45</v>
      </c>
      <c r="O50" s="111">
        <f t="shared" si="21"/>
        <v>214066.4286</v>
      </c>
      <c r="Q50" s="113"/>
      <c r="R50" s="113"/>
      <c r="S50" s="113"/>
      <c r="T50" s="113"/>
      <c r="U50" s="113"/>
      <c r="V50" s="113"/>
    </row>
    <row r="51">
      <c r="C51" s="99"/>
      <c r="D51" s="100"/>
      <c r="H51" s="86"/>
      <c r="I51" s="86"/>
      <c r="J51" s="86"/>
      <c r="K51" s="86"/>
      <c r="L51" s="86"/>
      <c r="M51" s="86"/>
      <c r="N51" s="86"/>
      <c r="O51" s="86"/>
    </row>
    <row r="52">
      <c r="C52" s="99"/>
      <c r="D52" s="100"/>
      <c r="H52" s="86"/>
      <c r="I52" s="86"/>
      <c r="J52" s="86"/>
      <c r="K52" s="86"/>
      <c r="L52" s="86"/>
      <c r="M52" s="130"/>
      <c r="N52" s="86"/>
      <c r="O52" s="86"/>
    </row>
    <row r="53">
      <c r="C53" s="99"/>
      <c r="D53" s="100"/>
      <c r="H53" s="86"/>
      <c r="I53" s="86"/>
      <c r="J53" s="86"/>
      <c r="K53" s="86"/>
      <c r="L53" s="86"/>
      <c r="M53" s="86"/>
      <c r="N53" s="86"/>
      <c r="O53" s="86"/>
    </row>
    <row r="54">
      <c r="C54" s="99"/>
      <c r="D54" s="100"/>
      <c r="H54" s="86"/>
      <c r="I54" s="86"/>
      <c r="J54" s="86"/>
      <c r="K54" s="86"/>
      <c r="L54" s="86"/>
      <c r="M54" s="86"/>
      <c r="N54" s="86"/>
      <c r="O54" s="86"/>
    </row>
    <row r="55">
      <c r="C55" s="99"/>
      <c r="D55" s="100"/>
      <c r="H55" s="86"/>
      <c r="I55" s="86"/>
      <c r="J55" s="86"/>
      <c r="K55" s="86"/>
      <c r="L55" s="86"/>
      <c r="M55" s="86"/>
      <c r="N55" s="86"/>
      <c r="O55" s="86"/>
    </row>
    <row r="56">
      <c r="C56" s="99"/>
      <c r="D56" s="100"/>
      <c r="H56" s="86"/>
      <c r="I56" s="86"/>
      <c r="J56" s="86"/>
      <c r="K56" s="86"/>
      <c r="L56" s="86"/>
      <c r="M56" s="86"/>
      <c r="N56" s="86"/>
      <c r="O56" s="86"/>
    </row>
    <row r="57">
      <c r="C57" s="99"/>
      <c r="D57" s="100"/>
      <c r="H57" s="86"/>
      <c r="I57" s="86"/>
      <c r="J57" s="86"/>
      <c r="K57" s="86"/>
      <c r="L57" s="86"/>
      <c r="M57" s="86"/>
      <c r="N57" s="86"/>
      <c r="O57" s="86"/>
    </row>
    <row r="58">
      <c r="C58" s="99"/>
      <c r="D58" s="100"/>
      <c r="H58" s="86"/>
      <c r="I58" s="86"/>
      <c r="J58" s="86"/>
      <c r="K58" s="86"/>
      <c r="L58" s="86"/>
      <c r="M58" s="86"/>
      <c r="N58" s="86"/>
      <c r="O58" s="86"/>
    </row>
    <row r="59">
      <c r="C59" s="99"/>
      <c r="D59" s="100"/>
      <c r="H59" s="86"/>
      <c r="I59" s="86"/>
      <c r="J59" s="86"/>
      <c r="K59" s="86"/>
      <c r="L59" s="86"/>
      <c r="M59" s="86"/>
      <c r="N59" s="86"/>
      <c r="O59" s="86"/>
    </row>
    <row r="60">
      <c r="C60" s="99"/>
      <c r="D60" s="100"/>
      <c r="H60" s="86"/>
      <c r="I60" s="86"/>
      <c r="J60" s="86"/>
      <c r="K60" s="86"/>
      <c r="L60" s="86"/>
      <c r="M60" s="86"/>
      <c r="N60" s="86"/>
      <c r="O60" s="86"/>
    </row>
    <row r="61">
      <c r="C61" s="99"/>
      <c r="D61" s="100"/>
      <c r="H61" s="86"/>
      <c r="I61" s="86"/>
      <c r="J61" s="86"/>
      <c r="K61" s="86"/>
      <c r="L61" s="86"/>
      <c r="M61" s="86"/>
      <c r="N61" s="86"/>
      <c r="O61" s="86"/>
    </row>
    <row r="62">
      <c r="C62" s="99"/>
      <c r="D62" s="100"/>
      <c r="H62" s="86"/>
      <c r="I62" s="86"/>
      <c r="J62" s="86"/>
      <c r="K62" s="86"/>
      <c r="L62" s="86"/>
      <c r="M62" s="86"/>
      <c r="N62" s="86"/>
      <c r="O62" s="86"/>
    </row>
    <row r="63">
      <c r="C63" s="99"/>
      <c r="D63" s="100"/>
      <c r="H63" s="86"/>
      <c r="I63" s="86"/>
      <c r="J63" s="86"/>
      <c r="K63" s="86"/>
      <c r="L63" s="86"/>
      <c r="M63" s="86"/>
      <c r="N63" s="86"/>
      <c r="O63" s="86"/>
    </row>
    <row r="64">
      <c r="C64" s="99"/>
      <c r="D64" s="100"/>
      <c r="H64" s="86"/>
      <c r="I64" s="86"/>
      <c r="J64" s="86"/>
      <c r="K64" s="86"/>
      <c r="L64" s="86"/>
      <c r="M64" s="86"/>
      <c r="N64" s="86"/>
      <c r="O64" s="86"/>
    </row>
    <row r="65">
      <c r="C65" s="99"/>
      <c r="D65" s="100"/>
      <c r="H65" s="86"/>
      <c r="I65" s="86"/>
      <c r="J65" s="86"/>
      <c r="K65" s="86"/>
      <c r="L65" s="86"/>
      <c r="M65" s="86"/>
      <c r="N65" s="86"/>
      <c r="O65" s="86"/>
    </row>
    <row r="66">
      <c r="C66" s="99"/>
      <c r="D66" s="100"/>
      <c r="H66" s="86"/>
      <c r="I66" s="86"/>
      <c r="J66" s="86"/>
      <c r="K66" s="86"/>
      <c r="L66" s="86"/>
      <c r="M66" s="86"/>
      <c r="N66" s="86"/>
      <c r="O66" s="86"/>
    </row>
    <row r="67">
      <c r="C67" s="99"/>
      <c r="D67" s="100"/>
      <c r="H67" s="86"/>
      <c r="I67" s="86"/>
      <c r="J67" s="86"/>
      <c r="K67" s="86"/>
      <c r="L67" s="86"/>
      <c r="M67" s="86"/>
      <c r="N67" s="86"/>
      <c r="O67" s="86"/>
    </row>
    <row r="68">
      <c r="C68" s="99"/>
      <c r="D68" s="100"/>
      <c r="H68" s="86"/>
      <c r="I68" s="86"/>
      <c r="J68" s="86"/>
      <c r="K68" s="86"/>
      <c r="L68" s="86"/>
      <c r="M68" s="86"/>
      <c r="N68" s="86"/>
      <c r="O68" s="86"/>
    </row>
    <row r="69">
      <c r="C69" s="99"/>
      <c r="D69" s="100"/>
      <c r="H69" s="86"/>
      <c r="I69" s="86"/>
      <c r="J69" s="86"/>
      <c r="K69" s="86"/>
      <c r="L69" s="86"/>
      <c r="M69" s="86"/>
      <c r="N69" s="86"/>
      <c r="O69" s="86"/>
    </row>
    <row r="70">
      <c r="C70" s="99"/>
      <c r="D70" s="100"/>
      <c r="H70" s="86"/>
      <c r="I70" s="86"/>
      <c r="J70" s="86"/>
      <c r="K70" s="86"/>
      <c r="L70" s="86"/>
      <c r="M70" s="86"/>
      <c r="N70" s="86"/>
      <c r="O70" s="86"/>
    </row>
    <row r="71">
      <c r="C71" s="99"/>
      <c r="D71" s="100"/>
      <c r="H71" s="86"/>
      <c r="I71" s="86"/>
      <c r="J71" s="86"/>
      <c r="K71" s="86"/>
      <c r="L71" s="86"/>
      <c r="M71" s="86"/>
      <c r="N71" s="86"/>
      <c r="O71" s="86"/>
    </row>
    <row r="72">
      <c r="C72" s="99"/>
      <c r="D72" s="100"/>
      <c r="H72" s="86"/>
      <c r="I72" s="86"/>
      <c r="J72" s="86"/>
      <c r="K72" s="86"/>
      <c r="L72" s="86"/>
      <c r="M72" s="86"/>
      <c r="N72" s="86"/>
      <c r="O72" s="86"/>
    </row>
    <row r="73">
      <c r="C73" s="99"/>
      <c r="D73" s="100"/>
      <c r="H73" s="86"/>
      <c r="I73" s="86"/>
      <c r="J73" s="86"/>
      <c r="K73" s="86"/>
      <c r="L73" s="86"/>
      <c r="M73" s="86"/>
      <c r="N73" s="86"/>
      <c r="O73" s="86"/>
    </row>
    <row r="74">
      <c r="C74" s="99"/>
      <c r="D74" s="100"/>
      <c r="H74" s="86"/>
      <c r="I74" s="86"/>
      <c r="J74" s="86"/>
      <c r="K74" s="86"/>
      <c r="L74" s="86"/>
      <c r="M74" s="86"/>
      <c r="N74" s="86"/>
      <c r="O74" s="86"/>
    </row>
    <row r="75">
      <c r="C75" s="99"/>
      <c r="D75" s="100"/>
      <c r="H75" s="86"/>
      <c r="I75" s="86"/>
      <c r="J75" s="86"/>
      <c r="K75" s="86"/>
      <c r="L75" s="86"/>
      <c r="M75" s="86"/>
      <c r="N75" s="86"/>
      <c r="O75" s="86"/>
    </row>
    <row r="76">
      <c r="C76" s="99"/>
      <c r="D76" s="100"/>
      <c r="H76" s="86"/>
      <c r="I76" s="86"/>
      <c r="J76" s="86"/>
      <c r="K76" s="86"/>
      <c r="L76" s="86"/>
      <c r="M76" s="86"/>
      <c r="N76" s="86"/>
      <c r="O76" s="86"/>
    </row>
    <row r="77">
      <c r="C77" s="99"/>
      <c r="D77" s="100"/>
      <c r="H77" s="86"/>
      <c r="I77" s="86"/>
      <c r="J77" s="86"/>
      <c r="K77" s="86"/>
      <c r="L77" s="86"/>
      <c r="M77" s="86"/>
      <c r="N77" s="86"/>
      <c r="O77" s="86"/>
    </row>
    <row r="78">
      <c r="C78" s="99"/>
      <c r="D78" s="100"/>
      <c r="H78" s="86"/>
      <c r="I78" s="86"/>
      <c r="J78" s="86"/>
      <c r="K78" s="86"/>
      <c r="L78" s="86"/>
      <c r="M78" s="86"/>
      <c r="N78" s="86"/>
      <c r="O78" s="86"/>
    </row>
    <row r="79">
      <c r="C79" s="99"/>
      <c r="D79" s="100"/>
      <c r="H79" s="86"/>
      <c r="I79" s="86"/>
      <c r="J79" s="86"/>
      <c r="K79" s="86"/>
      <c r="L79" s="86"/>
      <c r="M79" s="86"/>
      <c r="N79" s="86"/>
      <c r="O79" s="86"/>
    </row>
    <row r="80">
      <c r="C80" s="99"/>
      <c r="D80" s="100"/>
      <c r="H80" s="86"/>
      <c r="I80" s="86"/>
      <c r="J80" s="86"/>
      <c r="K80" s="86"/>
      <c r="L80" s="86"/>
      <c r="M80" s="86"/>
      <c r="N80" s="86"/>
      <c r="O80" s="86"/>
    </row>
    <row r="81">
      <c r="C81" s="99"/>
      <c r="D81" s="100"/>
      <c r="H81" s="86"/>
      <c r="I81" s="86"/>
      <c r="J81" s="86"/>
      <c r="K81" s="86"/>
      <c r="L81" s="86"/>
      <c r="M81" s="86"/>
      <c r="N81" s="86"/>
      <c r="O81" s="86"/>
    </row>
    <row r="82">
      <c r="C82" s="99"/>
      <c r="D82" s="100"/>
      <c r="H82" s="86"/>
      <c r="I82" s="86"/>
      <c r="J82" s="86"/>
      <c r="K82" s="86"/>
      <c r="L82" s="86"/>
      <c r="M82" s="86"/>
      <c r="N82" s="86"/>
      <c r="O82" s="86"/>
    </row>
    <row r="83">
      <c r="C83" s="99"/>
      <c r="D83" s="100"/>
      <c r="H83" s="86"/>
      <c r="I83" s="86"/>
      <c r="J83" s="86"/>
      <c r="K83" s="86"/>
      <c r="L83" s="86"/>
      <c r="M83" s="86"/>
      <c r="N83" s="86"/>
      <c r="O83" s="86"/>
    </row>
    <row r="84">
      <c r="C84" s="99"/>
      <c r="D84" s="100"/>
      <c r="H84" s="86"/>
      <c r="I84" s="86"/>
      <c r="J84" s="86"/>
      <c r="K84" s="86"/>
      <c r="L84" s="86"/>
      <c r="M84" s="86"/>
      <c r="N84" s="86"/>
      <c r="O84" s="86"/>
    </row>
    <row r="85">
      <c r="C85" s="99"/>
      <c r="D85" s="100"/>
      <c r="H85" s="86"/>
      <c r="I85" s="86"/>
      <c r="J85" s="86"/>
      <c r="K85" s="86"/>
      <c r="L85" s="86"/>
      <c r="M85" s="86"/>
      <c r="N85" s="86"/>
      <c r="O85" s="86"/>
    </row>
    <row r="86">
      <c r="C86" s="99"/>
      <c r="D86" s="100"/>
      <c r="H86" s="86"/>
      <c r="I86" s="86"/>
      <c r="J86" s="86"/>
      <c r="K86" s="86"/>
      <c r="L86" s="86"/>
      <c r="M86" s="86"/>
      <c r="N86" s="86"/>
      <c r="O86" s="86"/>
    </row>
    <row r="87">
      <c r="C87" s="99"/>
      <c r="D87" s="100"/>
      <c r="H87" s="86"/>
      <c r="I87" s="86"/>
      <c r="J87" s="86"/>
      <c r="K87" s="86"/>
      <c r="L87" s="86"/>
      <c r="M87" s="86"/>
      <c r="N87" s="86"/>
      <c r="O87" s="86"/>
    </row>
    <row r="88">
      <c r="C88" s="99"/>
      <c r="D88" s="100"/>
      <c r="H88" s="86"/>
      <c r="I88" s="86"/>
      <c r="J88" s="86"/>
      <c r="K88" s="86"/>
      <c r="L88" s="86"/>
      <c r="M88" s="86"/>
      <c r="N88" s="86"/>
      <c r="O88" s="86"/>
    </row>
    <row r="89">
      <c r="C89" s="99"/>
      <c r="D89" s="100"/>
      <c r="H89" s="86"/>
      <c r="I89" s="86"/>
      <c r="J89" s="86"/>
      <c r="K89" s="86"/>
      <c r="L89" s="86"/>
      <c r="M89" s="86"/>
      <c r="N89" s="86"/>
      <c r="O89" s="86"/>
    </row>
    <row r="90">
      <c r="C90" s="99"/>
      <c r="D90" s="100"/>
      <c r="H90" s="86"/>
      <c r="I90" s="86"/>
      <c r="J90" s="86"/>
      <c r="K90" s="86"/>
      <c r="L90" s="86"/>
      <c r="M90" s="86"/>
      <c r="N90" s="86"/>
      <c r="O90" s="86"/>
    </row>
    <row r="91">
      <c r="C91" s="99"/>
      <c r="D91" s="100"/>
      <c r="H91" s="86"/>
      <c r="I91" s="86"/>
      <c r="J91" s="86"/>
      <c r="K91" s="86"/>
      <c r="L91" s="86"/>
      <c r="M91" s="86"/>
      <c r="N91" s="86"/>
      <c r="O91" s="86"/>
    </row>
    <row r="92">
      <c r="C92" s="99"/>
      <c r="D92" s="100"/>
      <c r="H92" s="86"/>
      <c r="I92" s="86"/>
      <c r="J92" s="86"/>
      <c r="K92" s="86"/>
      <c r="L92" s="86"/>
      <c r="M92" s="86"/>
      <c r="N92" s="86"/>
      <c r="O92" s="86"/>
    </row>
    <row r="93">
      <c r="C93" s="99"/>
      <c r="D93" s="100"/>
      <c r="H93" s="86"/>
      <c r="I93" s="86"/>
      <c r="J93" s="86"/>
      <c r="K93" s="86"/>
      <c r="L93" s="86"/>
      <c r="M93" s="86"/>
      <c r="N93" s="86"/>
      <c r="O93" s="86"/>
    </row>
    <row r="94">
      <c r="C94" s="99"/>
      <c r="D94" s="100"/>
      <c r="H94" s="86"/>
      <c r="I94" s="86"/>
      <c r="J94" s="86"/>
      <c r="K94" s="86"/>
      <c r="L94" s="86"/>
      <c r="M94" s="86"/>
      <c r="N94" s="86"/>
      <c r="O94" s="86"/>
    </row>
    <row r="95">
      <c r="C95" s="99"/>
      <c r="D95" s="100"/>
      <c r="H95" s="86"/>
      <c r="I95" s="86"/>
      <c r="J95" s="86"/>
      <c r="K95" s="86"/>
      <c r="L95" s="86"/>
      <c r="M95" s="86"/>
      <c r="N95" s="86"/>
      <c r="O95" s="86"/>
    </row>
    <row r="96">
      <c r="C96" s="99"/>
      <c r="D96" s="100"/>
      <c r="H96" s="86"/>
      <c r="I96" s="86"/>
      <c r="J96" s="86"/>
      <c r="K96" s="86"/>
      <c r="L96" s="86"/>
      <c r="M96" s="86"/>
      <c r="N96" s="86"/>
      <c r="O96" s="86"/>
    </row>
    <row r="97">
      <c r="C97" s="99"/>
      <c r="D97" s="100"/>
      <c r="H97" s="86"/>
      <c r="I97" s="86"/>
      <c r="J97" s="86"/>
      <c r="K97" s="86"/>
      <c r="L97" s="86"/>
      <c r="M97" s="86"/>
      <c r="N97" s="86"/>
      <c r="O97" s="86"/>
    </row>
    <row r="98">
      <c r="C98" s="99"/>
      <c r="D98" s="100"/>
      <c r="H98" s="86"/>
      <c r="I98" s="86"/>
      <c r="J98" s="86"/>
      <c r="K98" s="86"/>
      <c r="L98" s="86"/>
      <c r="M98" s="86"/>
      <c r="N98" s="86"/>
      <c r="O98" s="86"/>
    </row>
    <row r="99">
      <c r="C99" s="99"/>
      <c r="D99" s="100"/>
      <c r="H99" s="86"/>
      <c r="I99" s="86"/>
      <c r="J99" s="86"/>
      <c r="K99" s="86"/>
      <c r="L99" s="86"/>
      <c r="M99" s="86"/>
      <c r="N99" s="86"/>
      <c r="O99" s="86"/>
    </row>
    <row r="100">
      <c r="C100" s="99"/>
      <c r="D100" s="100"/>
      <c r="H100" s="86"/>
      <c r="I100" s="86"/>
      <c r="J100" s="86"/>
      <c r="K100" s="86"/>
      <c r="L100" s="86"/>
      <c r="M100" s="86"/>
      <c r="N100" s="86"/>
      <c r="O100" s="86"/>
    </row>
    <row r="101">
      <c r="C101" s="99"/>
      <c r="D101" s="100"/>
      <c r="H101" s="86"/>
      <c r="I101" s="86"/>
      <c r="J101" s="86"/>
      <c r="K101" s="86"/>
      <c r="L101" s="86"/>
      <c r="M101" s="86"/>
      <c r="N101" s="86"/>
      <c r="O101" s="86"/>
    </row>
    <row r="102">
      <c r="C102" s="99"/>
      <c r="D102" s="100"/>
      <c r="H102" s="86"/>
      <c r="I102" s="86"/>
      <c r="J102" s="86"/>
      <c r="K102" s="86"/>
      <c r="L102" s="86"/>
      <c r="M102" s="86"/>
      <c r="N102" s="86"/>
      <c r="O102" s="86"/>
    </row>
    <row r="103">
      <c r="C103" s="99"/>
      <c r="D103" s="100"/>
      <c r="H103" s="86"/>
      <c r="I103" s="86"/>
      <c r="J103" s="86"/>
      <c r="K103" s="86"/>
      <c r="L103" s="86"/>
      <c r="M103" s="86"/>
      <c r="N103" s="86"/>
      <c r="O103" s="86"/>
    </row>
    <row r="104">
      <c r="C104" s="99"/>
      <c r="D104" s="100"/>
      <c r="H104" s="86"/>
      <c r="I104" s="86"/>
      <c r="J104" s="86"/>
      <c r="K104" s="86"/>
      <c r="L104" s="86"/>
      <c r="M104" s="86"/>
      <c r="N104" s="86"/>
      <c r="O104" s="86"/>
    </row>
    <row r="105">
      <c r="C105" s="99"/>
      <c r="D105" s="100"/>
      <c r="H105" s="86"/>
      <c r="I105" s="86"/>
      <c r="J105" s="86"/>
      <c r="K105" s="86"/>
      <c r="L105" s="86"/>
      <c r="M105" s="86"/>
      <c r="N105" s="86"/>
      <c r="O105" s="86"/>
    </row>
    <row r="106">
      <c r="C106" s="99"/>
      <c r="D106" s="100"/>
      <c r="H106" s="86"/>
      <c r="I106" s="86"/>
      <c r="J106" s="86"/>
      <c r="K106" s="86"/>
      <c r="L106" s="86"/>
      <c r="M106" s="86"/>
      <c r="N106" s="86"/>
      <c r="O106" s="86"/>
    </row>
    <row r="107">
      <c r="C107" s="99"/>
      <c r="D107" s="100"/>
      <c r="H107" s="86"/>
      <c r="I107" s="86"/>
      <c r="J107" s="86"/>
      <c r="K107" s="86"/>
      <c r="L107" s="86"/>
      <c r="M107" s="86"/>
      <c r="N107" s="86"/>
      <c r="O107" s="86"/>
    </row>
    <row r="108">
      <c r="C108" s="99"/>
      <c r="D108" s="100"/>
      <c r="H108" s="86"/>
      <c r="I108" s="86"/>
      <c r="J108" s="86"/>
      <c r="K108" s="86"/>
      <c r="L108" s="86"/>
      <c r="M108" s="86"/>
      <c r="N108" s="86"/>
      <c r="O108" s="86"/>
    </row>
    <row r="109">
      <c r="C109" s="99"/>
      <c r="D109" s="100"/>
      <c r="H109" s="86"/>
      <c r="I109" s="86"/>
      <c r="J109" s="86"/>
      <c r="K109" s="86"/>
      <c r="L109" s="86"/>
      <c r="M109" s="86"/>
      <c r="N109" s="86"/>
      <c r="O109" s="86"/>
    </row>
    <row r="110">
      <c r="C110" s="99"/>
      <c r="D110" s="100"/>
      <c r="H110" s="86"/>
      <c r="I110" s="86"/>
      <c r="J110" s="86"/>
      <c r="K110" s="86"/>
      <c r="L110" s="86"/>
      <c r="M110" s="86"/>
      <c r="N110" s="86"/>
      <c r="O110" s="86"/>
    </row>
    <row r="111">
      <c r="C111" s="99"/>
      <c r="D111" s="100"/>
      <c r="H111" s="86"/>
      <c r="I111" s="86"/>
      <c r="J111" s="86"/>
      <c r="K111" s="86"/>
      <c r="L111" s="86"/>
      <c r="M111" s="86"/>
      <c r="N111" s="86"/>
      <c r="O111" s="86"/>
    </row>
    <row r="112">
      <c r="C112" s="99"/>
      <c r="D112" s="100"/>
      <c r="H112" s="86"/>
      <c r="I112" s="86"/>
      <c r="J112" s="86"/>
      <c r="K112" s="86"/>
      <c r="L112" s="86"/>
      <c r="M112" s="86"/>
      <c r="N112" s="86"/>
      <c r="O112" s="86"/>
    </row>
    <row r="113">
      <c r="C113" s="99"/>
      <c r="D113" s="100"/>
      <c r="H113" s="86"/>
      <c r="I113" s="86"/>
      <c r="J113" s="86"/>
      <c r="K113" s="86"/>
      <c r="L113" s="86"/>
      <c r="M113" s="86"/>
      <c r="N113" s="86"/>
      <c r="O113" s="86"/>
    </row>
    <row r="114">
      <c r="C114" s="99"/>
      <c r="D114" s="100"/>
      <c r="H114" s="86"/>
      <c r="I114" s="86"/>
      <c r="J114" s="86"/>
      <c r="K114" s="86"/>
      <c r="L114" s="86"/>
      <c r="M114" s="86"/>
      <c r="N114" s="86"/>
      <c r="O114" s="86"/>
    </row>
    <row r="115">
      <c r="C115" s="99"/>
      <c r="D115" s="100"/>
      <c r="H115" s="86"/>
      <c r="I115" s="86"/>
      <c r="J115" s="86"/>
      <c r="K115" s="86"/>
      <c r="L115" s="86"/>
      <c r="M115" s="86"/>
      <c r="N115" s="86"/>
      <c r="O115" s="86"/>
    </row>
    <row r="116">
      <c r="C116" s="99"/>
      <c r="D116" s="100"/>
      <c r="H116" s="86"/>
      <c r="I116" s="86"/>
      <c r="J116" s="86"/>
      <c r="K116" s="86"/>
      <c r="L116" s="86"/>
      <c r="M116" s="86"/>
      <c r="N116" s="86"/>
      <c r="O116" s="86"/>
    </row>
    <row r="117">
      <c r="C117" s="99"/>
      <c r="D117" s="100"/>
      <c r="H117" s="86"/>
      <c r="I117" s="86"/>
      <c r="J117" s="86"/>
      <c r="K117" s="86"/>
      <c r="L117" s="86"/>
      <c r="M117" s="86"/>
      <c r="N117" s="86"/>
      <c r="O117" s="86"/>
    </row>
    <row r="118">
      <c r="C118" s="99"/>
      <c r="D118" s="100"/>
      <c r="H118" s="86"/>
      <c r="I118" s="86"/>
      <c r="J118" s="86"/>
      <c r="K118" s="86"/>
      <c r="L118" s="86"/>
      <c r="M118" s="86"/>
      <c r="N118" s="86"/>
      <c r="O118" s="86"/>
    </row>
    <row r="119">
      <c r="C119" s="99"/>
      <c r="D119" s="100"/>
      <c r="H119" s="86"/>
      <c r="I119" s="86"/>
      <c r="J119" s="86"/>
      <c r="K119" s="86"/>
      <c r="L119" s="86"/>
      <c r="M119" s="86"/>
      <c r="N119" s="86"/>
      <c r="O119" s="86"/>
    </row>
    <row r="120">
      <c r="C120" s="99"/>
      <c r="D120" s="100"/>
      <c r="H120" s="86"/>
      <c r="I120" s="86"/>
      <c r="J120" s="86"/>
      <c r="K120" s="86"/>
      <c r="L120" s="86"/>
      <c r="M120" s="86"/>
      <c r="N120" s="86"/>
      <c r="O120" s="86"/>
    </row>
    <row r="121">
      <c r="C121" s="99"/>
      <c r="D121" s="100"/>
      <c r="H121" s="86"/>
      <c r="I121" s="86"/>
      <c r="J121" s="86"/>
      <c r="K121" s="86"/>
      <c r="L121" s="86"/>
      <c r="M121" s="86"/>
      <c r="N121" s="86"/>
      <c r="O121" s="86"/>
    </row>
    <row r="122">
      <c r="C122" s="99"/>
      <c r="D122" s="100"/>
      <c r="H122" s="86"/>
      <c r="I122" s="86"/>
      <c r="J122" s="86"/>
      <c r="K122" s="86"/>
      <c r="L122" s="86"/>
      <c r="M122" s="86"/>
      <c r="N122" s="86"/>
      <c r="O122" s="86"/>
    </row>
    <row r="123">
      <c r="C123" s="99"/>
      <c r="D123" s="100"/>
      <c r="H123" s="86"/>
      <c r="I123" s="86"/>
      <c r="J123" s="86"/>
      <c r="K123" s="86"/>
      <c r="L123" s="86"/>
      <c r="M123" s="86"/>
      <c r="N123" s="86"/>
      <c r="O123" s="86"/>
    </row>
    <row r="124">
      <c r="C124" s="99"/>
      <c r="D124" s="100"/>
      <c r="H124" s="86"/>
      <c r="I124" s="86"/>
      <c r="J124" s="86"/>
      <c r="K124" s="86"/>
      <c r="L124" s="86"/>
      <c r="M124" s="86"/>
      <c r="N124" s="86"/>
      <c r="O124" s="86"/>
    </row>
    <row r="125">
      <c r="C125" s="99"/>
      <c r="D125" s="100"/>
      <c r="H125" s="86"/>
      <c r="I125" s="86"/>
      <c r="J125" s="86"/>
      <c r="K125" s="86"/>
      <c r="L125" s="86"/>
      <c r="M125" s="86"/>
      <c r="N125" s="86"/>
      <c r="O125" s="86"/>
    </row>
    <row r="126">
      <c r="C126" s="99"/>
      <c r="D126" s="100"/>
      <c r="H126" s="86"/>
      <c r="I126" s="86"/>
      <c r="J126" s="86"/>
      <c r="K126" s="86"/>
      <c r="L126" s="86"/>
      <c r="M126" s="86"/>
      <c r="N126" s="86"/>
      <c r="O126" s="86"/>
    </row>
    <row r="127">
      <c r="C127" s="99"/>
      <c r="D127" s="100"/>
      <c r="H127" s="86"/>
      <c r="I127" s="86"/>
      <c r="J127" s="86"/>
      <c r="K127" s="86"/>
      <c r="L127" s="86"/>
      <c r="M127" s="86"/>
      <c r="N127" s="86"/>
      <c r="O127" s="86"/>
    </row>
    <row r="128">
      <c r="C128" s="99"/>
      <c r="D128" s="100"/>
      <c r="H128" s="86"/>
      <c r="I128" s="86"/>
      <c r="J128" s="86"/>
      <c r="K128" s="86"/>
      <c r="L128" s="86"/>
      <c r="M128" s="86"/>
      <c r="N128" s="86"/>
      <c r="O128" s="86"/>
    </row>
    <row r="129">
      <c r="C129" s="99"/>
      <c r="D129" s="100"/>
      <c r="H129" s="86"/>
      <c r="I129" s="86"/>
      <c r="J129" s="86"/>
      <c r="K129" s="86"/>
      <c r="L129" s="86"/>
      <c r="M129" s="86"/>
      <c r="N129" s="86"/>
      <c r="O129" s="86"/>
    </row>
    <row r="130">
      <c r="C130" s="99"/>
      <c r="D130" s="100"/>
      <c r="H130" s="86"/>
      <c r="I130" s="86"/>
      <c r="J130" s="86"/>
      <c r="K130" s="86"/>
      <c r="L130" s="86"/>
      <c r="M130" s="86"/>
      <c r="N130" s="86"/>
      <c r="O130" s="86"/>
    </row>
    <row r="131">
      <c r="C131" s="99"/>
      <c r="D131" s="100"/>
      <c r="H131" s="86"/>
      <c r="I131" s="86"/>
      <c r="J131" s="86"/>
      <c r="K131" s="86"/>
      <c r="L131" s="86"/>
      <c r="M131" s="86"/>
      <c r="N131" s="86"/>
      <c r="O131" s="86"/>
    </row>
    <row r="132">
      <c r="C132" s="99"/>
      <c r="D132" s="100"/>
      <c r="H132" s="86"/>
      <c r="I132" s="86"/>
      <c r="J132" s="86"/>
      <c r="K132" s="86"/>
      <c r="L132" s="86"/>
      <c r="M132" s="86"/>
      <c r="N132" s="86"/>
      <c r="O132" s="86"/>
    </row>
    <row r="133">
      <c r="C133" s="99"/>
      <c r="D133" s="100"/>
      <c r="H133" s="86"/>
      <c r="I133" s="86"/>
      <c r="J133" s="86"/>
      <c r="K133" s="86"/>
      <c r="L133" s="86"/>
      <c r="M133" s="86"/>
      <c r="N133" s="86"/>
      <c r="O133" s="86"/>
    </row>
    <row r="134">
      <c r="C134" s="99"/>
      <c r="D134" s="100"/>
      <c r="H134" s="86"/>
      <c r="I134" s="86"/>
      <c r="J134" s="86"/>
      <c r="K134" s="86"/>
      <c r="L134" s="86"/>
      <c r="M134" s="86"/>
      <c r="N134" s="86"/>
      <c r="O134" s="86"/>
    </row>
    <row r="135">
      <c r="C135" s="99"/>
      <c r="D135" s="100"/>
      <c r="H135" s="86"/>
      <c r="I135" s="86"/>
      <c r="J135" s="86"/>
      <c r="K135" s="86"/>
      <c r="L135" s="86"/>
      <c r="M135" s="86"/>
      <c r="N135" s="86"/>
      <c r="O135" s="86"/>
    </row>
    <row r="136">
      <c r="C136" s="99"/>
      <c r="D136" s="100"/>
      <c r="H136" s="86"/>
      <c r="I136" s="86"/>
      <c r="J136" s="86"/>
      <c r="K136" s="86"/>
      <c r="L136" s="86"/>
      <c r="M136" s="86"/>
      <c r="N136" s="86"/>
      <c r="O136" s="86"/>
    </row>
    <row r="137">
      <c r="C137" s="99"/>
      <c r="D137" s="100"/>
      <c r="H137" s="86"/>
      <c r="I137" s="86"/>
      <c r="J137" s="86"/>
      <c r="K137" s="86"/>
      <c r="L137" s="86"/>
      <c r="M137" s="86"/>
      <c r="N137" s="86"/>
      <c r="O137" s="86"/>
    </row>
    <row r="138">
      <c r="C138" s="99"/>
      <c r="D138" s="100"/>
      <c r="H138" s="86"/>
      <c r="I138" s="86"/>
      <c r="J138" s="86"/>
      <c r="K138" s="86"/>
      <c r="L138" s="86"/>
      <c r="M138" s="86"/>
      <c r="N138" s="86"/>
      <c r="O138" s="86"/>
    </row>
    <row r="139">
      <c r="C139" s="99"/>
      <c r="D139" s="100"/>
      <c r="H139" s="86"/>
      <c r="I139" s="86"/>
      <c r="J139" s="86"/>
      <c r="K139" s="86"/>
      <c r="L139" s="86"/>
      <c r="M139" s="86"/>
      <c r="N139" s="86"/>
      <c r="O139" s="86"/>
    </row>
    <row r="140">
      <c r="C140" s="99"/>
      <c r="D140" s="100"/>
      <c r="H140" s="86"/>
      <c r="I140" s="86"/>
      <c r="J140" s="86"/>
      <c r="K140" s="86"/>
      <c r="L140" s="86"/>
      <c r="M140" s="86"/>
      <c r="N140" s="86"/>
      <c r="O140" s="86"/>
    </row>
    <row r="141">
      <c r="C141" s="99"/>
      <c r="D141" s="100"/>
      <c r="H141" s="86"/>
      <c r="I141" s="86"/>
      <c r="J141" s="86"/>
      <c r="K141" s="86"/>
      <c r="L141" s="86"/>
      <c r="M141" s="86"/>
      <c r="N141" s="86"/>
      <c r="O141" s="86"/>
    </row>
    <row r="142">
      <c r="C142" s="99"/>
      <c r="D142" s="100"/>
      <c r="H142" s="86"/>
      <c r="I142" s="86"/>
      <c r="J142" s="86"/>
      <c r="K142" s="86"/>
      <c r="L142" s="86"/>
      <c r="M142" s="86"/>
      <c r="N142" s="86"/>
      <c r="O142" s="86"/>
    </row>
    <row r="143">
      <c r="C143" s="99"/>
      <c r="D143" s="100"/>
      <c r="H143" s="86"/>
      <c r="I143" s="86"/>
      <c r="J143" s="86"/>
      <c r="K143" s="86"/>
      <c r="L143" s="86"/>
      <c r="M143" s="86"/>
      <c r="N143" s="86"/>
      <c r="O143" s="86"/>
    </row>
    <row r="144">
      <c r="C144" s="99"/>
      <c r="D144" s="100"/>
      <c r="H144" s="86"/>
      <c r="I144" s="86"/>
      <c r="J144" s="86"/>
      <c r="K144" s="86"/>
      <c r="L144" s="86"/>
      <c r="M144" s="86"/>
      <c r="N144" s="86"/>
      <c r="O144" s="86"/>
    </row>
    <row r="145">
      <c r="C145" s="99"/>
      <c r="D145" s="100"/>
      <c r="H145" s="86"/>
      <c r="I145" s="86"/>
      <c r="J145" s="86"/>
      <c r="K145" s="86"/>
      <c r="L145" s="86"/>
      <c r="M145" s="86"/>
      <c r="N145" s="86"/>
      <c r="O145" s="86"/>
    </row>
    <row r="146">
      <c r="C146" s="99"/>
      <c r="D146" s="100"/>
      <c r="H146" s="86"/>
      <c r="I146" s="86"/>
      <c r="J146" s="86"/>
      <c r="K146" s="86"/>
      <c r="L146" s="86"/>
      <c r="M146" s="86"/>
      <c r="N146" s="86"/>
      <c r="O146" s="86"/>
    </row>
    <row r="147">
      <c r="C147" s="99"/>
      <c r="D147" s="100"/>
      <c r="H147" s="86"/>
      <c r="I147" s="86"/>
      <c r="J147" s="86"/>
      <c r="K147" s="86"/>
      <c r="L147" s="86"/>
      <c r="M147" s="86"/>
      <c r="N147" s="86"/>
      <c r="O147" s="86"/>
    </row>
    <row r="148">
      <c r="C148" s="99"/>
      <c r="D148" s="100"/>
      <c r="H148" s="86"/>
      <c r="I148" s="86"/>
      <c r="J148" s="86"/>
      <c r="K148" s="86"/>
      <c r="L148" s="86"/>
      <c r="M148" s="86"/>
      <c r="N148" s="86"/>
      <c r="O148" s="86"/>
    </row>
    <row r="149">
      <c r="C149" s="99"/>
      <c r="D149" s="100"/>
      <c r="H149" s="86"/>
      <c r="I149" s="86"/>
      <c r="J149" s="86"/>
      <c r="K149" s="86"/>
      <c r="L149" s="86"/>
      <c r="M149" s="86"/>
      <c r="N149" s="86"/>
      <c r="O149" s="86"/>
    </row>
    <row r="150">
      <c r="C150" s="99"/>
      <c r="D150" s="100"/>
      <c r="H150" s="86"/>
      <c r="I150" s="86"/>
      <c r="J150" s="86"/>
      <c r="K150" s="86"/>
      <c r="L150" s="86"/>
      <c r="M150" s="86"/>
      <c r="N150" s="86"/>
      <c r="O150" s="86"/>
    </row>
    <row r="151">
      <c r="C151" s="99"/>
      <c r="D151" s="100"/>
      <c r="H151" s="86"/>
      <c r="I151" s="86"/>
      <c r="J151" s="86"/>
      <c r="K151" s="86"/>
      <c r="L151" s="86"/>
      <c r="M151" s="86"/>
      <c r="N151" s="86"/>
      <c r="O151" s="86"/>
    </row>
    <row r="152">
      <c r="C152" s="99"/>
      <c r="D152" s="100"/>
      <c r="H152" s="86"/>
      <c r="I152" s="86"/>
      <c r="J152" s="86"/>
      <c r="K152" s="86"/>
      <c r="L152" s="86"/>
      <c r="M152" s="86"/>
      <c r="N152" s="86"/>
      <c r="O152" s="86"/>
    </row>
    <row r="153">
      <c r="C153" s="99"/>
      <c r="D153" s="100"/>
      <c r="H153" s="86"/>
      <c r="I153" s="86"/>
      <c r="J153" s="86"/>
      <c r="K153" s="86"/>
      <c r="L153" s="86"/>
      <c r="M153" s="86"/>
      <c r="N153" s="86"/>
      <c r="O153" s="86"/>
    </row>
    <row r="154">
      <c r="C154" s="99"/>
      <c r="D154" s="100"/>
      <c r="H154" s="86"/>
      <c r="I154" s="86"/>
      <c r="J154" s="86"/>
      <c r="K154" s="86"/>
      <c r="L154" s="86"/>
      <c r="M154" s="86"/>
      <c r="N154" s="86"/>
      <c r="O154" s="86"/>
    </row>
    <row r="155">
      <c r="C155" s="99"/>
      <c r="D155" s="100"/>
      <c r="H155" s="86"/>
      <c r="I155" s="86"/>
      <c r="J155" s="86"/>
      <c r="K155" s="86"/>
      <c r="L155" s="86"/>
      <c r="M155" s="86"/>
      <c r="N155" s="86"/>
      <c r="O155" s="86"/>
    </row>
    <row r="156">
      <c r="C156" s="99"/>
      <c r="D156" s="100"/>
      <c r="H156" s="86"/>
      <c r="I156" s="86"/>
      <c r="J156" s="86"/>
      <c r="K156" s="86"/>
      <c r="L156" s="86"/>
      <c r="M156" s="86"/>
      <c r="N156" s="86"/>
      <c r="O156" s="86"/>
    </row>
    <row r="157">
      <c r="C157" s="99"/>
      <c r="D157" s="100"/>
      <c r="H157" s="86"/>
      <c r="I157" s="86"/>
      <c r="J157" s="86"/>
      <c r="K157" s="86"/>
      <c r="L157" s="86"/>
      <c r="M157" s="86"/>
      <c r="N157" s="86"/>
      <c r="O157" s="86"/>
    </row>
    <row r="158">
      <c r="C158" s="99"/>
      <c r="D158" s="100"/>
      <c r="H158" s="86"/>
      <c r="I158" s="86"/>
      <c r="J158" s="86"/>
      <c r="K158" s="86"/>
      <c r="L158" s="86"/>
      <c r="M158" s="86"/>
      <c r="N158" s="86"/>
      <c r="O158" s="86"/>
    </row>
    <row r="159">
      <c r="C159" s="99"/>
      <c r="D159" s="100"/>
      <c r="H159" s="86"/>
      <c r="I159" s="86"/>
      <c r="J159" s="86"/>
      <c r="K159" s="86"/>
      <c r="L159" s="86"/>
      <c r="M159" s="86"/>
      <c r="N159" s="86"/>
      <c r="O159" s="86"/>
    </row>
    <row r="160">
      <c r="C160" s="99"/>
      <c r="D160" s="100"/>
      <c r="H160" s="86"/>
      <c r="I160" s="86"/>
      <c r="J160" s="86"/>
      <c r="K160" s="86"/>
      <c r="L160" s="86"/>
      <c r="M160" s="86"/>
      <c r="N160" s="86"/>
      <c r="O160" s="86"/>
    </row>
    <row r="161">
      <c r="C161" s="99"/>
      <c r="D161" s="100"/>
      <c r="H161" s="86"/>
      <c r="I161" s="86"/>
      <c r="J161" s="86"/>
      <c r="K161" s="86"/>
      <c r="L161" s="86"/>
      <c r="M161" s="86"/>
      <c r="N161" s="86"/>
      <c r="O161" s="86"/>
    </row>
    <row r="162">
      <c r="C162" s="99"/>
      <c r="D162" s="100"/>
      <c r="H162" s="86"/>
      <c r="I162" s="86"/>
      <c r="J162" s="86"/>
      <c r="K162" s="86"/>
      <c r="L162" s="86"/>
      <c r="M162" s="86"/>
      <c r="N162" s="86"/>
      <c r="O162" s="86"/>
    </row>
    <row r="163">
      <c r="C163" s="99"/>
      <c r="D163" s="100"/>
      <c r="H163" s="86"/>
      <c r="I163" s="86"/>
      <c r="J163" s="86"/>
      <c r="K163" s="86"/>
      <c r="L163" s="86"/>
      <c r="M163" s="86"/>
      <c r="N163" s="86"/>
      <c r="O163" s="86"/>
    </row>
    <row r="164">
      <c r="C164" s="99"/>
      <c r="D164" s="100"/>
      <c r="H164" s="86"/>
      <c r="I164" s="86"/>
      <c r="J164" s="86"/>
      <c r="K164" s="86"/>
      <c r="L164" s="86"/>
      <c r="M164" s="86"/>
      <c r="N164" s="86"/>
      <c r="O164" s="86"/>
    </row>
    <row r="165">
      <c r="C165" s="99"/>
      <c r="D165" s="100"/>
      <c r="H165" s="86"/>
      <c r="I165" s="86"/>
      <c r="J165" s="86"/>
      <c r="K165" s="86"/>
      <c r="L165" s="86"/>
      <c r="M165" s="86"/>
      <c r="N165" s="86"/>
      <c r="O165" s="86"/>
    </row>
    <row r="166">
      <c r="C166" s="99"/>
      <c r="D166" s="100"/>
      <c r="H166" s="86"/>
      <c r="I166" s="86"/>
      <c r="J166" s="86"/>
      <c r="K166" s="86"/>
      <c r="L166" s="86"/>
      <c r="M166" s="86"/>
      <c r="N166" s="86"/>
      <c r="O166" s="86"/>
    </row>
    <row r="167">
      <c r="C167" s="99"/>
      <c r="D167" s="100"/>
      <c r="H167" s="86"/>
      <c r="I167" s="86"/>
      <c r="J167" s="86"/>
      <c r="K167" s="86"/>
      <c r="L167" s="86"/>
      <c r="M167" s="86"/>
      <c r="N167" s="86"/>
      <c r="O167" s="86"/>
    </row>
    <row r="168">
      <c r="C168" s="99"/>
      <c r="D168" s="100"/>
      <c r="H168" s="86"/>
      <c r="I168" s="86"/>
      <c r="J168" s="86"/>
      <c r="K168" s="86"/>
      <c r="L168" s="86"/>
      <c r="M168" s="86"/>
      <c r="N168" s="86"/>
      <c r="O168" s="86"/>
    </row>
    <row r="169">
      <c r="C169" s="99"/>
      <c r="D169" s="100"/>
      <c r="H169" s="86"/>
      <c r="I169" s="86"/>
      <c r="J169" s="86"/>
      <c r="K169" s="86"/>
      <c r="L169" s="86"/>
      <c r="M169" s="86"/>
      <c r="N169" s="86"/>
      <c r="O169" s="86"/>
    </row>
    <row r="170">
      <c r="C170" s="99"/>
      <c r="D170" s="100"/>
      <c r="H170" s="86"/>
      <c r="I170" s="86"/>
      <c r="J170" s="86"/>
      <c r="K170" s="86"/>
      <c r="L170" s="86"/>
      <c r="M170" s="86"/>
      <c r="N170" s="86"/>
      <c r="O170" s="86"/>
    </row>
    <row r="171">
      <c r="C171" s="99"/>
      <c r="D171" s="100"/>
      <c r="H171" s="86"/>
      <c r="I171" s="86"/>
      <c r="J171" s="86"/>
      <c r="K171" s="86"/>
      <c r="L171" s="86"/>
      <c r="M171" s="86"/>
      <c r="N171" s="86"/>
      <c r="O171" s="86"/>
    </row>
    <row r="172">
      <c r="C172" s="99"/>
      <c r="D172" s="100"/>
      <c r="H172" s="86"/>
      <c r="I172" s="86"/>
      <c r="J172" s="86"/>
      <c r="K172" s="86"/>
      <c r="L172" s="86"/>
      <c r="M172" s="86"/>
      <c r="N172" s="86"/>
      <c r="O172" s="86"/>
    </row>
    <row r="173">
      <c r="C173" s="99"/>
      <c r="D173" s="100"/>
      <c r="H173" s="86"/>
      <c r="I173" s="86"/>
      <c r="J173" s="86"/>
      <c r="K173" s="86"/>
      <c r="L173" s="86"/>
      <c r="M173" s="86"/>
      <c r="N173" s="86"/>
      <c r="O173" s="86"/>
    </row>
    <row r="174">
      <c r="C174" s="99"/>
      <c r="D174" s="100"/>
      <c r="H174" s="86"/>
      <c r="I174" s="86"/>
      <c r="J174" s="86"/>
      <c r="K174" s="86"/>
      <c r="L174" s="86"/>
      <c r="M174" s="86"/>
      <c r="N174" s="86"/>
      <c r="O174" s="86"/>
    </row>
    <row r="175">
      <c r="C175" s="99"/>
      <c r="D175" s="100"/>
      <c r="H175" s="86"/>
      <c r="I175" s="86"/>
      <c r="J175" s="86"/>
      <c r="K175" s="86"/>
      <c r="L175" s="86"/>
      <c r="M175" s="86"/>
      <c r="N175" s="86"/>
      <c r="O175" s="86"/>
    </row>
    <row r="176">
      <c r="C176" s="99"/>
      <c r="D176" s="100"/>
      <c r="H176" s="86"/>
      <c r="I176" s="86"/>
      <c r="J176" s="86"/>
      <c r="K176" s="86"/>
      <c r="L176" s="86"/>
      <c r="M176" s="86"/>
      <c r="N176" s="86"/>
      <c r="O176" s="86"/>
    </row>
    <row r="177">
      <c r="C177" s="99"/>
      <c r="D177" s="100"/>
      <c r="H177" s="86"/>
      <c r="I177" s="86"/>
      <c r="J177" s="86"/>
      <c r="K177" s="86"/>
      <c r="L177" s="86"/>
      <c r="M177" s="86"/>
      <c r="N177" s="86"/>
      <c r="O177" s="86"/>
    </row>
    <row r="178">
      <c r="C178" s="99"/>
      <c r="D178" s="100"/>
      <c r="H178" s="86"/>
      <c r="I178" s="86"/>
      <c r="J178" s="86"/>
      <c r="K178" s="86"/>
      <c r="L178" s="86"/>
      <c r="M178" s="86"/>
      <c r="N178" s="86"/>
      <c r="O178" s="86"/>
    </row>
    <row r="179">
      <c r="C179" s="99"/>
      <c r="D179" s="100"/>
      <c r="H179" s="86"/>
      <c r="I179" s="86"/>
      <c r="J179" s="86"/>
      <c r="K179" s="86"/>
      <c r="L179" s="86"/>
      <c r="M179" s="86"/>
      <c r="N179" s="86"/>
      <c r="O179" s="86"/>
    </row>
    <row r="180">
      <c r="C180" s="99"/>
      <c r="D180" s="100"/>
      <c r="H180" s="86"/>
      <c r="I180" s="86"/>
      <c r="J180" s="86"/>
      <c r="K180" s="86"/>
      <c r="L180" s="86"/>
      <c r="M180" s="86"/>
      <c r="N180" s="86"/>
      <c r="O180" s="86"/>
    </row>
    <row r="181">
      <c r="C181" s="99"/>
      <c r="D181" s="100"/>
      <c r="H181" s="86"/>
      <c r="I181" s="86"/>
      <c r="J181" s="86"/>
      <c r="K181" s="86"/>
      <c r="L181" s="86"/>
      <c r="M181" s="86"/>
      <c r="N181" s="86"/>
      <c r="O181" s="86"/>
    </row>
    <row r="182">
      <c r="C182" s="99"/>
      <c r="D182" s="100"/>
      <c r="H182" s="86"/>
      <c r="I182" s="86"/>
      <c r="J182" s="86"/>
      <c r="K182" s="86"/>
      <c r="L182" s="86"/>
      <c r="M182" s="86"/>
      <c r="N182" s="86"/>
      <c r="O182" s="86"/>
    </row>
    <row r="183">
      <c r="C183" s="99"/>
      <c r="D183" s="100"/>
      <c r="H183" s="86"/>
      <c r="I183" s="86"/>
      <c r="J183" s="86"/>
      <c r="K183" s="86"/>
      <c r="L183" s="86"/>
      <c r="M183" s="86"/>
      <c r="N183" s="86"/>
      <c r="O183" s="86"/>
    </row>
    <row r="184">
      <c r="C184" s="99"/>
      <c r="D184" s="100"/>
      <c r="H184" s="86"/>
      <c r="I184" s="86"/>
      <c r="J184" s="86"/>
      <c r="K184" s="86"/>
      <c r="L184" s="86"/>
      <c r="M184" s="86"/>
      <c r="N184" s="86"/>
      <c r="O184" s="86"/>
    </row>
    <row r="185">
      <c r="C185" s="99"/>
      <c r="D185" s="100"/>
      <c r="H185" s="86"/>
      <c r="I185" s="86"/>
      <c r="J185" s="86"/>
      <c r="K185" s="86"/>
      <c r="L185" s="86"/>
      <c r="M185" s="86"/>
      <c r="N185" s="86"/>
      <c r="O185" s="86"/>
    </row>
    <row r="186">
      <c r="C186" s="99"/>
      <c r="D186" s="100"/>
      <c r="H186" s="86"/>
      <c r="I186" s="86"/>
      <c r="J186" s="86"/>
      <c r="K186" s="86"/>
      <c r="L186" s="86"/>
      <c r="M186" s="86"/>
      <c r="N186" s="86"/>
      <c r="O186" s="86"/>
    </row>
    <row r="187">
      <c r="C187" s="99"/>
      <c r="D187" s="100"/>
      <c r="H187" s="86"/>
      <c r="I187" s="86"/>
      <c r="J187" s="86"/>
      <c r="K187" s="86"/>
      <c r="L187" s="86"/>
      <c r="M187" s="86"/>
      <c r="N187" s="86"/>
      <c r="O187" s="86"/>
    </row>
    <row r="188">
      <c r="C188" s="99"/>
      <c r="D188" s="100"/>
      <c r="H188" s="86"/>
      <c r="I188" s="86"/>
      <c r="J188" s="86"/>
      <c r="K188" s="86"/>
      <c r="L188" s="86"/>
      <c r="M188" s="86"/>
      <c r="N188" s="86"/>
      <c r="O188" s="86"/>
    </row>
    <row r="189">
      <c r="C189" s="99"/>
      <c r="D189" s="100"/>
      <c r="H189" s="86"/>
      <c r="I189" s="86"/>
      <c r="J189" s="86"/>
      <c r="K189" s="86"/>
      <c r="L189" s="86"/>
      <c r="M189" s="86"/>
      <c r="N189" s="86"/>
      <c r="O189" s="86"/>
    </row>
    <row r="190">
      <c r="C190" s="99"/>
      <c r="D190" s="100"/>
      <c r="H190" s="86"/>
      <c r="I190" s="86"/>
      <c r="J190" s="86"/>
      <c r="K190" s="86"/>
      <c r="L190" s="86"/>
      <c r="M190" s="86"/>
      <c r="N190" s="86"/>
      <c r="O190" s="86"/>
    </row>
    <row r="191">
      <c r="C191" s="99"/>
      <c r="D191" s="100"/>
      <c r="H191" s="86"/>
      <c r="I191" s="86"/>
      <c r="J191" s="86"/>
      <c r="K191" s="86"/>
      <c r="L191" s="86"/>
      <c r="M191" s="86"/>
      <c r="N191" s="86"/>
      <c r="O191" s="86"/>
    </row>
    <row r="192">
      <c r="C192" s="99"/>
      <c r="D192" s="100"/>
      <c r="H192" s="86"/>
      <c r="I192" s="86"/>
      <c r="J192" s="86"/>
      <c r="K192" s="86"/>
      <c r="L192" s="86"/>
      <c r="M192" s="86"/>
      <c r="N192" s="86"/>
      <c r="O192" s="86"/>
    </row>
    <row r="193">
      <c r="C193" s="99"/>
      <c r="D193" s="100"/>
      <c r="H193" s="86"/>
      <c r="I193" s="86"/>
      <c r="J193" s="86"/>
      <c r="K193" s="86"/>
      <c r="L193" s="86"/>
      <c r="M193" s="86"/>
      <c r="N193" s="86"/>
      <c r="O193" s="86"/>
    </row>
    <row r="194">
      <c r="C194" s="99"/>
      <c r="D194" s="100"/>
      <c r="H194" s="86"/>
      <c r="I194" s="86"/>
      <c r="J194" s="86"/>
      <c r="K194" s="86"/>
      <c r="L194" s="86"/>
      <c r="M194" s="86"/>
      <c r="N194" s="86"/>
      <c r="O194" s="86"/>
    </row>
    <row r="195">
      <c r="C195" s="99"/>
      <c r="D195" s="100"/>
      <c r="H195" s="86"/>
      <c r="I195" s="86"/>
      <c r="J195" s="86"/>
      <c r="K195" s="86"/>
      <c r="L195" s="86"/>
      <c r="M195" s="86"/>
      <c r="N195" s="86"/>
      <c r="O195" s="86"/>
    </row>
    <row r="196">
      <c r="C196" s="99"/>
      <c r="D196" s="100"/>
      <c r="H196" s="86"/>
      <c r="I196" s="86"/>
      <c r="J196" s="86"/>
      <c r="K196" s="86"/>
      <c r="L196" s="86"/>
      <c r="M196" s="86"/>
      <c r="N196" s="86"/>
      <c r="O196" s="86"/>
    </row>
    <row r="197">
      <c r="C197" s="99"/>
      <c r="D197" s="100"/>
      <c r="H197" s="86"/>
      <c r="I197" s="86"/>
      <c r="J197" s="86"/>
      <c r="K197" s="86"/>
      <c r="L197" s="86"/>
      <c r="M197" s="86"/>
      <c r="N197" s="86"/>
      <c r="O197" s="86"/>
    </row>
    <row r="198">
      <c r="C198" s="99"/>
      <c r="D198" s="100"/>
      <c r="H198" s="86"/>
      <c r="I198" s="86"/>
      <c r="J198" s="86"/>
      <c r="K198" s="86"/>
      <c r="L198" s="86"/>
      <c r="M198" s="86"/>
      <c r="N198" s="86"/>
      <c r="O198" s="86"/>
    </row>
    <row r="199">
      <c r="C199" s="99"/>
      <c r="D199" s="100"/>
      <c r="H199" s="86"/>
      <c r="I199" s="86"/>
      <c r="J199" s="86"/>
      <c r="K199" s="86"/>
      <c r="L199" s="86"/>
      <c r="M199" s="86"/>
      <c r="N199" s="86"/>
      <c r="O199" s="86"/>
    </row>
    <row r="200">
      <c r="C200" s="99"/>
      <c r="D200" s="100"/>
      <c r="H200" s="86"/>
      <c r="I200" s="86"/>
      <c r="J200" s="86"/>
      <c r="K200" s="86"/>
      <c r="L200" s="86"/>
      <c r="M200" s="86"/>
      <c r="N200" s="86"/>
      <c r="O200" s="86"/>
    </row>
    <row r="201">
      <c r="C201" s="99"/>
      <c r="D201" s="100"/>
      <c r="H201" s="86"/>
      <c r="I201" s="86"/>
      <c r="J201" s="86"/>
      <c r="K201" s="86"/>
      <c r="L201" s="86"/>
      <c r="M201" s="86"/>
      <c r="N201" s="86"/>
      <c r="O201" s="86"/>
    </row>
    <row r="202">
      <c r="C202" s="99"/>
      <c r="D202" s="100"/>
      <c r="H202" s="86"/>
      <c r="I202" s="86"/>
      <c r="J202" s="86"/>
      <c r="K202" s="86"/>
      <c r="L202" s="86"/>
      <c r="M202" s="86"/>
      <c r="N202" s="86"/>
      <c r="O202" s="86"/>
    </row>
    <row r="203">
      <c r="C203" s="99"/>
      <c r="D203" s="100"/>
      <c r="H203" s="86"/>
      <c r="I203" s="86"/>
      <c r="J203" s="86"/>
      <c r="K203" s="86"/>
      <c r="L203" s="86"/>
      <c r="M203" s="86"/>
      <c r="N203" s="86"/>
      <c r="O203" s="86"/>
    </row>
    <row r="204">
      <c r="C204" s="99"/>
      <c r="D204" s="100"/>
      <c r="H204" s="86"/>
      <c r="I204" s="86"/>
      <c r="J204" s="86"/>
      <c r="K204" s="86"/>
      <c r="L204" s="86"/>
      <c r="M204" s="86"/>
      <c r="N204" s="86"/>
      <c r="O204" s="86"/>
    </row>
    <row r="205">
      <c r="C205" s="99"/>
      <c r="D205" s="100"/>
      <c r="H205" s="86"/>
      <c r="I205" s="86"/>
      <c r="J205" s="86"/>
      <c r="K205" s="86"/>
      <c r="L205" s="86"/>
      <c r="M205" s="86"/>
      <c r="N205" s="86"/>
      <c r="O205" s="86"/>
    </row>
    <row r="206">
      <c r="C206" s="99"/>
      <c r="D206" s="100"/>
      <c r="H206" s="86"/>
      <c r="I206" s="86"/>
      <c r="J206" s="86"/>
      <c r="K206" s="86"/>
      <c r="L206" s="86"/>
      <c r="M206" s="86"/>
      <c r="N206" s="86"/>
      <c r="O206" s="86"/>
    </row>
    <row r="207">
      <c r="C207" s="99"/>
      <c r="D207" s="100"/>
      <c r="H207" s="86"/>
      <c r="I207" s="86"/>
      <c r="J207" s="86"/>
      <c r="K207" s="86"/>
      <c r="L207" s="86"/>
      <c r="M207" s="86"/>
      <c r="N207" s="86"/>
      <c r="O207" s="86"/>
    </row>
    <row r="208">
      <c r="C208" s="99"/>
      <c r="D208" s="100"/>
      <c r="H208" s="86"/>
      <c r="I208" s="86"/>
      <c r="J208" s="86"/>
      <c r="K208" s="86"/>
      <c r="L208" s="86"/>
      <c r="M208" s="86"/>
      <c r="N208" s="86"/>
      <c r="O208" s="86"/>
    </row>
    <row r="209">
      <c r="C209" s="99"/>
      <c r="D209" s="100"/>
      <c r="H209" s="86"/>
      <c r="I209" s="86"/>
      <c r="J209" s="86"/>
      <c r="K209" s="86"/>
      <c r="L209" s="86"/>
      <c r="M209" s="86"/>
      <c r="N209" s="86"/>
      <c r="O209" s="86"/>
    </row>
    <row r="210">
      <c r="C210" s="99"/>
      <c r="D210" s="100"/>
      <c r="H210" s="86"/>
      <c r="I210" s="86"/>
      <c r="J210" s="86"/>
      <c r="K210" s="86"/>
      <c r="L210" s="86"/>
      <c r="M210" s="86"/>
      <c r="N210" s="86"/>
      <c r="O210" s="86"/>
    </row>
    <row r="211">
      <c r="C211" s="99"/>
      <c r="D211" s="100"/>
      <c r="H211" s="86"/>
      <c r="I211" s="86"/>
      <c r="J211" s="86"/>
      <c r="K211" s="86"/>
      <c r="L211" s="86"/>
      <c r="M211" s="86"/>
      <c r="N211" s="86"/>
      <c r="O211" s="86"/>
    </row>
    <row r="212">
      <c r="C212" s="99"/>
      <c r="D212" s="100"/>
      <c r="H212" s="86"/>
      <c r="I212" s="86"/>
      <c r="J212" s="86"/>
      <c r="K212" s="86"/>
      <c r="L212" s="86"/>
      <c r="M212" s="86"/>
      <c r="N212" s="86"/>
      <c r="O212" s="86"/>
    </row>
    <row r="213">
      <c r="C213" s="99"/>
      <c r="D213" s="100"/>
      <c r="H213" s="86"/>
      <c r="I213" s="86"/>
      <c r="J213" s="86"/>
      <c r="K213" s="86"/>
      <c r="L213" s="86"/>
      <c r="M213" s="86"/>
      <c r="N213" s="86"/>
      <c r="O213" s="86"/>
    </row>
    <row r="214">
      <c r="C214" s="99"/>
      <c r="D214" s="100"/>
      <c r="H214" s="86"/>
      <c r="I214" s="86"/>
      <c r="J214" s="86"/>
      <c r="K214" s="86"/>
      <c r="L214" s="86"/>
      <c r="M214" s="86"/>
      <c r="N214" s="86"/>
      <c r="O214" s="86"/>
    </row>
    <row r="215">
      <c r="C215" s="99"/>
      <c r="D215" s="100"/>
      <c r="H215" s="86"/>
      <c r="I215" s="86"/>
      <c r="J215" s="86"/>
      <c r="K215" s="86"/>
      <c r="L215" s="86"/>
      <c r="M215" s="86"/>
      <c r="N215" s="86"/>
      <c r="O215" s="86"/>
    </row>
    <row r="216">
      <c r="C216" s="99"/>
      <c r="D216" s="100"/>
      <c r="H216" s="86"/>
      <c r="I216" s="86"/>
      <c r="J216" s="86"/>
      <c r="K216" s="86"/>
      <c r="L216" s="86"/>
      <c r="M216" s="86"/>
      <c r="N216" s="86"/>
      <c r="O216" s="86"/>
    </row>
    <row r="217">
      <c r="C217" s="99"/>
      <c r="D217" s="100"/>
      <c r="H217" s="86"/>
      <c r="I217" s="86"/>
      <c r="J217" s="86"/>
      <c r="K217" s="86"/>
      <c r="L217" s="86"/>
      <c r="M217" s="86"/>
      <c r="N217" s="86"/>
      <c r="O217" s="86"/>
    </row>
    <row r="218">
      <c r="C218" s="99"/>
      <c r="D218" s="100"/>
      <c r="H218" s="86"/>
      <c r="I218" s="86"/>
      <c r="J218" s="86"/>
      <c r="K218" s="86"/>
      <c r="L218" s="86"/>
      <c r="M218" s="86"/>
      <c r="N218" s="86"/>
      <c r="O218" s="86"/>
    </row>
    <row r="219">
      <c r="C219" s="99"/>
      <c r="D219" s="100"/>
      <c r="H219" s="86"/>
      <c r="I219" s="86"/>
      <c r="J219" s="86"/>
      <c r="K219" s="86"/>
      <c r="L219" s="86"/>
      <c r="M219" s="86"/>
      <c r="N219" s="86"/>
      <c r="O219" s="86"/>
    </row>
    <row r="220">
      <c r="C220" s="99"/>
      <c r="D220" s="100"/>
      <c r="H220" s="86"/>
      <c r="I220" s="86"/>
      <c r="J220" s="86"/>
      <c r="K220" s="86"/>
      <c r="L220" s="86"/>
      <c r="M220" s="86"/>
      <c r="N220" s="86"/>
      <c r="O220" s="86"/>
    </row>
    <row r="221">
      <c r="C221" s="99"/>
      <c r="D221" s="100"/>
      <c r="H221" s="86"/>
      <c r="I221" s="86"/>
      <c r="J221" s="86"/>
      <c r="K221" s="86"/>
      <c r="L221" s="86"/>
      <c r="M221" s="86"/>
      <c r="N221" s="86"/>
      <c r="O221" s="86"/>
    </row>
    <row r="222">
      <c r="C222" s="99"/>
      <c r="D222" s="100"/>
      <c r="H222" s="86"/>
      <c r="I222" s="86"/>
      <c r="J222" s="86"/>
      <c r="K222" s="86"/>
      <c r="L222" s="86"/>
      <c r="M222" s="86"/>
      <c r="N222" s="86"/>
      <c r="O222" s="86"/>
    </row>
    <row r="223">
      <c r="C223" s="99"/>
      <c r="D223" s="100"/>
      <c r="H223" s="86"/>
      <c r="I223" s="86"/>
      <c r="J223" s="86"/>
      <c r="K223" s="86"/>
      <c r="L223" s="86"/>
      <c r="M223" s="86"/>
      <c r="N223" s="86"/>
      <c r="O223" s="86"/>
    </row>
    <row r="224">
      <c r="C224" s="99"/>
      <c r="D224" s="100"/>
      <c r="H224" s="86"/>
      <c r="I224" s="86"/>
      <c r="J224" s="86"/>
      <c r="K224" s="86"/>
      <c r="L224" s="86"/>
      <c r="M224" s="86"/>
      <c r="N224" s="86"/>
      <c r="O224" s="86"/>
    </row>
    <row r="225">
      <c r="C225" s="99"/>
      <c r="D225" s="100"/>
      <c r="H225" s="86"/>
      <c r="I225" s="86"/>
      <c r="J225" s="86"/>
      <c r="K225" s="86"/>
      <c r="L225" s="86"/>
      <c r="M225" s="86"/>
      <c r="N225" s="86"/>
      <c r="O225" s="86"/>
    </row>
    <row r="226">
      <c r="C226" s="99"/>
      <c r="D226" s="100"/>
      <c r="H226" s="86"/>
      <c r="I226" s="86"/>
      <c r="J226" s="86"/>
      <c r="K226" s="86"/>
      <c r="L226" s="86"/>
      <c r="M226" s="86"/>
      <c r="N226" s="86"/>
      <c r="O226" s="86"/>
    </row>
    <row r="227">
      <c r="C227" s="99"/>
      <c r="D227" s="100"/>
      <c r="H227" s="86"/>
      <c r="I227" s="86"/>
      <c r="J227" s="86"/>
      <c r="K227" s="86"/>
      <c r="L227" s="86"/>
      <c r="M227" s="86"/>
      <c r="N227" s="86"/>
      <c r="O227" s="86"/>
    </row>
    <row r="228">
      <c r="C228" s="99"/>
      <c r="D228" s="100"/>
      <c r="H228" s="86"/>
      <c r="I228" s="86"/>
      <c r="J228" s="86"/>
      <c r="K228" s="86"/>
      <c r="L228" s="86"/>
      <c r="M228" s="86"/>
      <c r="N228" s="86"/>
      <c r="O228" s="86"/>
    </row>
    <row r="229">
      <c r="C229" s="99"/>
      <c r="D229" s="100"/>
      <c r="H229" s="86"/>
      <c r="I229" s="86"/>
      <c r="J229" s="86"/>
      <c r="K229" s="86"/>
      <c r="L229" s="86"/>
      <c r="M229" s="86"/>
      <c r="N229" s="86"/>
      <c r="O229" s="86"/>
    </row>
    <row r="230">
      <c r="C230" s="99"/>
      <c r="D230" s="100"/>
      <c r="H230" s="86"/>
      <c r="I230" s="86"/>
      <c r="J230" s="86"/>
      <c r="K230" s="86"/>
      <c r="L230" s="86"/>
      <c r="M230" s="86"/>
      <c r="N230" s="86"/>
      <c r="O230" s="86"/>
    </row>
    <row r="231">
      <c r="C231" s="99"/>
      <c r="D231" s="100"/>
      <c r="H231" s="86"/>
      <c r="I231" s="86"/>
      <c r="J231" s="86"/>
      <c r="K231" s="86"/>
      <c r="L231" s="86"/>
      <c r="M231" s="86"/>
      <c r="N231" s="86"/>
      <c r="O231" s="86"/>
    </row>
    <row r="232">
      <c r="C232" s="99"/>
      <c r="D232" s="100"/>
      <c r="H232" s="86"/>
      <c r="I232" s="86"/>
      <c r="J232" s="86"/>
      <c r="K232" s="86"/>
      <c r="L232" s="86"/>
      <c r="M232" s="86"/>
      <c r="N232" s="86"/>
      <c r="O232" s="86"/>
    </row>
    <row r="233">
      <c r="C233" s="99"/>
      <c r="D233" s="100"/>
      <c r="H233" s="86"/>
      <c r="I233" s="86"/>
      <c r="J233" s="86"/>
      <c r="K233" s="86"/>
      <c r="L233" s="86"/>
      <c r="M233" s="86"/>
      <c r="N233" s="86"/>
      <c r="O233" s="86"/>
    </row>
    <row r="234">
      <c r="C234" s="99"/>
      <c r="D234" s="100"/>
      <c r="H234" s="86"/>
      <c r="I234" s="86"/>
      <c r="J234" s="86"/>
      <c r="K234" s="86"/>
      <c r="L234" s="86"/>
      <c r="M234" s="86"/>
      <c r="N234" s="86"/>
      <c r="O234" s="86"/>
    </row>
    <row r="235">
      <c r="C235" s="99"/>
      <c r="D235" s="100"/>
      <c r="H235" s="86"/>
      <c r="I235" s="86"/>
      <c r="J235" s="86"/>
      <c r="K235" s="86"/>
      <c r="L235" s="86"/>
      <c r="M235" s="86"/>
      <c r="N235" s="86"/>
      <c r="O235" s="86"/>
    </row>
    <row r="236">
      <c r="C236" s="99"/>
      <c r="D236" s="100"/>
      <c r="H236" s="86"/>
      <c r="I236" s="86"/>
      <c r="J236" s="86"/>
      <c r="K236" s="86"/>
      <c r="L236" s="86"/>
      <c r="M236" s="86"/>
      <c r="N236" s="86"/>
      <c r="O236" s="86"/>
    </row>
    <row r="237">
      <c r="C237" s="99"/>
      <c r="D237" s="100"/>
      <c r="H237" s="86"/>
      <c r="I237" s="86"/>
      <c r="J237" s="86"/>
      <c r="K237" s="86"/>
      <c r="L237" s="86"/>
      <c r="M237" s="86"/>
      <c r="N237" s="86"/>
      <c r="O237" s="86"/>
    </row>
    <row r="238">
      <c r="C238" s="99"/>
      <c r="D238" s="100"/>
      <c r="H238" s="86"/>
      <c r="I238" s="86"/>
      <c r="J238" s="86"/>
      <c r="K238" s="86"/>
      <c r="L238" s="86"/>
      <c r="M238" s="86"/>
      <c r="N238" s="86"/>
      <c r="O238" s="86"/>
    </row>
    <row r="239">
      <c r="C239" s="99"/>
      <c r="D239" s="100"/>
      <c r="H239" s="86"/>
      <c r="I239" s="86"/>
      <c r="J239" s="86"/>
      <c r="K239" s="86"/>
      <c r="L239" s="86"/>
      <c r="M239" s="86"/>
      <c r="N239" s="86"/>
      <c r="O239" s="86"/>
    </row>
    <row r="240">
      <c r="C240" s="99"/>
      <c r="D240" s="100"/>
      <c r="H240" s="86"/>
      <c r="I240" s="86"/>
      <c r="J240" s="86"/>
      <c r="K240" s="86"/>
      <c r="L240" s="86"/>
      <c r="M240" s="86"/>
      <c r="N240" s="86"/>
      <c r="O240" s="86"/>
    </row>
    <row r="241">
      <c r="C241" s="99"/>
      <c r="D241" s="100"/>
      <c r="H241" s="86"/>
      <c r="I241" s="86"/>
      <c r="J241" s="86"/>
      <c r="K241" s="86"/>
      <c r="L241" s="86"/>
      <c r="M241" s="86"/>
      <c r="N241" s="86"/>
      <c r="O241" s="86"/>
    </row>
    <row r="242">
      <c r="C242" s="99"/>
      <c r="D242" s="100"/>
      <c r="H242" s="86"/>
      <c r="I242" s="86"/>
      <c r="J242" s="86"/>
      <c r="K242" s="86"/>
      <c r="L242" s="86"/>
      <c r="M242" s="86"/>
      <c r="N242" s="86"/>
      <c r="O242" s="86"/>
    </row>
    <row r="243">
      <c r="C243" s="99"/>
      <c r="D243" s="100"/>
      <c r="H243" s="86"/>
      <c r="I243" s="86"/>
      <c r="J243" s="86"/>
      <c r="K243" s="86"/>
      <c r="L243" s="86"/>
      <c r="M243" s="86"/>
      <c r="N243" s="86"/>
      <c r="O243" s="86"/>
    </row>
    <row r="244">
      <c r="C244" s="99"/>
      <c r="D244" s="100"/>
      <c r="H244" s="86"/>
      <c r="I244" s="86"/>
      <c r="J244" s="86"/>
      <c r="K244" s="86"/>
      <c r="L244" s="86"/>
      <c r="M244" s="86"/>
      <c r="N244" s="86"/>
      <c r="O244" s="86"/>
    </row>
    <row r="245">
      <c r="C245" s="99"/>
      <c r="D245" s="100"/>
      <c r="H245" s="86"/>
      <c r="I245" s="86"/>
      <c r="J245" s="86"/>
      <c r="K245" s="86"/>
      <c r="L245" s="86"/>
      <c r="M245" s="86"/>
      <c r="N245" s="86"/>
      <c r="O245" s="86"/>
    </row>
    <row r="246">
      <c r="C246" s="99"/>
      <c r="D246" s="100"/>
      <c r="H246" s="86"/>
      <c r="I246" s="86"/>
      <c r="J246" s="86"/>
      <c r="K246" s="86"/>
      <c r="L246" s="86"/>
      <c r="M246" s="86"/>
      <c r="N246" s="86"/>
      <c r="O246" s="86"/>
    </row>
    <row r="247">
      <c r="C247" s="99"/>
      <c r="D247" s="100"/>
      <c r="H247" s="86"/>
      <c r="I247" s="86"/>
      <c r="J247" s="86"/>
      <c r="K247" s="86"/>
      <c r="L247" s="86"/>
      <c r="M247" s="86"/>
      <c r="N247" s="86"/>
      <c r="O247" s="86"/>
    </row>
    <row r="248">
      <c r="C248" s="99"/>
      <c r="D248" s="100"/>
      <c r="H248" s="86"/>
      <c r="I248" s="86"/>
      <c r="J248" s="86"/>
      <c r="K248" s="86"/>
      <c r="L248" s="86"/>
      <c r="M248" s="86"/>
      <c r="N248" s="86"/>
      <c r="O248" s="86"/>
    </row>
    <row r="249">
      <c r="C249" s="99"/>
      <c r="D249" s="100"/>
      <c r="H249" s="86"/>
      <c r="I249" s="86"/>
      <c r="J249" s="86"/>
      <c r="K249" s="86"/>
      <c r="L249" s="86"/>
      <c r="M249" s="86"/>
      <c r="N249" s="86"/>
      <c r="O249" s="86"/>
    </row>
    <row r="250">
      <c r="C250" s="99"/>
      <c r="D250" s="100"/>
      <c r="H250" s="86"/>
      <c r="I250" s="86"/>
      <c r="J250" s="86"/>
      <c r="K250" s="86"/>
      <c r="L250" s="86"/>
      <c r="M250" s="86"/>
      <c r="N250" s="86"/>
      <c r="O250" s="86"/>
    </row>
    <row r="251">
      <c r="C251" s="99"/>
      <c r="D251" s="100"/>
      <c r="H251" s="86"/>
      <c r="I251" s="86"/>
      <c r="J251" s="86"/>
      <c r="K251" s="86"/>
      <c r="L251" s="86"/>
      <c r="M251" s="86"/>
      <c r="N251" s="86"/>
      <c r="O251" s="86"/>
    </row>
    <row r="252">
      <c r="C252" s="99"/>
      <c r="D252" s="100"/>
      <c r="H252" s="86"/>
      <c r="I252" s="86"/>
      <c r="J252" s="86"/>
      <c r="K252" s="86"/>
      <c r="L252" s="86"/>
      <c r="M252" s="86"/>
      <c r="N252" s="86"/>
      <c r="O252" s="86"/>
    </row>
    <row r="253">
      <c r="C253" s="99"/>
      <c r="D253" s="100"/>
      <c r="H253" s="86"/>
      <c r="I253" s="86"/>
      <c r="J253" s="86"/>
      <c r="K253" s="86"/>
      <c r="L253" s="86"/>
      <c r="M253" s="86"/>
      <c r="N253" s="86"/>
      <c r="O253" s="86"/>
    </row>
    <row r="254">
      <c r="C254" s="99"/>
      <c r="D254" s="100"/>
      <c r="H254" s="86"/>
      <c r="I254" s="86"/>
      <c r="J254" s="86"/>
      <c r="K254" s="86"/>
      <c r="L254" s="86"/>
      <c r="M254" s="86"/>
      <c r="N254" s="86"/>
      <c r="O254" s="86"/>
    </row>
    <row r="255">
      <c r="C255" s="99"/>
      <c r="D255" s="100"/>
      <c r="H255" s="86"/>
      <c r="I255" s="86"/>
      <c r="J255" s="86"/>
      <c r="K255" s="86"/>
      <c r="L255" s="86"/>
      <c r="M255" s="86"/>
      <c r="N255" s="86"/>
      <c r="O255" s="86"/>
    </row>
    <row r="256">
      <c r="C256" s="99"/>
      <c r="D256" s="100"/>
      <c r="H256" s="86"/>
      <c r="I256" s="86"/>
      <c r="J256" s="86"/>
      <c r="K256" s="86"/>
      <c r="L256" s="86"/>
      <c r="M256" s="86"/>
      <c r="N256" s="86"/>
      <c r="O256" s="86"/>
    </row>
    <row r="257">
      <c r="C257" s="99"/>
      <c r="D257" s="100"/>
      <c r="H257" s="86"/>
      <c r="I257" s="86"/>
      <c r="J257" s="86"/>
      <c r="K257" s="86"/>
      <c r="L257" s="86"/>
      <c r="M257" s="86"/>
      <c r="N257" s="86"/>
      <c r="O257" s="86"/>
    </row>
    <row r="258">
      <c r="C258" s="99"/>
      <c r="D258" s="100"/>
      <c r="H258" s="86"/>
      <c r="I258" s="86"/>
      <c r="J258" s="86"/>
      <c r="K258" s="86"/>
      <c r="L258" s="86"/>
      <c r="M258" s="86"/>
      <c r="N258" s="86"/>
      <c r="O258" s="86"/>
    </row>
    <row r="259">
      <c r="C259" s="99"/>
      <c r="D259" s="100"/>
      <c r="H259" s="86"/>
      <c r="I259" s="86"/>
      <c r="J259" s="86"/>
      <c r="K259" s="86"/>
      <c r="L259" s="86"/>
      <c r="M259" s="86"/>
      <c r="N259" s="86"/>
      <c r="O259" s="86"/>
    </row>
    <row r="260">
      <c r="C260" s="99"/>
      <c r="D260" s="100"/>
      <c r="H260" s="86"/>
      <c r="I260" s="86"/>
      <c r="J260" s="86"/>
      <c r="K260" s="86"/>
      <c r="L260" s="86"/>
      <c r="M260" s="86"/>
      <c r="N260" s="86"/>
      <c r="O260" s="86"/>
    </row>
    <row r="261">
      <c r="C261" s="99"/>
      <c r="D261" s="100"/>
      <c r="H261" s="86"/>
      <c r="I261" s="86"/>
      <c r="J261" s="86"/>
      <c r="K261" s="86"/>
      <c r="L261" s="86"/>
      <c r="M261" s="86"/>
      <c r="N261" s="86"/>
      <c r="O261" s="86"/>
    </row>
    <row r="262">
      <c r="C262" s="99"/>
      <c r="D262" s="100"/>
      <c r="H262" s="86"/>
      <c r="I262" s="86"/>
      <c r="J262" s="86"/>
      <c r="K262" s="86"/>
      <c r="L262" s="86"/>
      <c r="M262" s="86"/>
      <c r="N262" s="86"/>
      <c r="O262" s="86"/>
    </row>
    <row r="263">
      <c r="C263" s="99"/>
      <c r="D263" s="100"/>
      <c r="H263" s="86"/>
      <c r="I263" s="86"/>
      <c r="J263" s="86"/>
      <c r="K263" s="86"/>
      <c r="L263" s="86"/>
      <c r="M263" s="86"/>
      <c r="N263" s="86"/>
      <c r="O263" s="86"/>
    </row>
    <row r="264">
      <c r="C264" s="99"/>
      <c r="D264" s="100"/>
      <c r="H264" s="86"/>
      <c r="I264" s="86"/>
      <c r="J264" s="86"/>
      <c r="K264" s="86"/>
      <c r="L264" s="86"/>
      <c r="M264" s="86"/>
      <c r="N264" s="86"/>
      <c r="O264" s="86"/>
    </row>
    <row r="265">
      <c r="C265" s="99"/>
      <c r="D265" s="100"/>
      <c r="H265" s="86"/>
      <c r="I265" s="86"/>
      <c r="J265" s="86"/>
      <c r="K265" s="86"/>
      <c r="L265" s="86"/>
      <c r="M265" s="86"/>
      <c r="N265" s="86"/>
      <c r="O265" s="86"/>
    </row>
    <row r="266">
      <c r="C266" s="99"/>
      <c r="D266" s="100"/>
      <c r="H266" s="86"/>
      <c r="I266" s="86"/>
      <c r="J266" s="86"/>
      <c r="K266" s="86"/>
      <c r="L266" s="86"/>
      <c r="M266" s="86"/>
      <c r="N266" s="86"/>
      <c r="O266" s="86"/>
    </row>
    <row r="267">
      <c r="C267" s="99"/>
      <c r="D267" s="100"/>
      <c r="H267" s="86"/>
      <c r="I267" s="86"/>
      <c r="J267" s="86"/>
      <c r="K267" s="86"/>
      <c r="L267" s="86"/>
      <c r="M267" s="86"/>
      <c r="N267" s="86"/>
      <c r="O267" s="86"/>
    </row>
    <row r="268">
      <c r="C268" s="99"/>
      <c r="D268" s="100"/>
      <c r="H268" s="86"/>
      <c r="I268" s="86"/>
      <c r="J268" s="86"/>
      <c r="K268" s="86"/>
      <c r="L268" s="86"/>
      <c r="M268" s="86"/>
      <c r="N268" s="86"/>
      <c r="O268" s="86"/>
    </row>
    <row r="269">
      <c r="C269" s="99"/>
      <c r="D269" s="100"/>
      <c r="H269" s="86"/>
      <c r="I269" s="86"/>
      <c r="J269" s="86"/>
      <c r="K269" s="86"/>
      <c r="L269" s="86"/>
      <c r="M269" s="86"/>
      <c r="N269" s="86"/>
      <c r="O269" s="86"/>
    </row>
    <row r="270">
      <c r="C270" s="99"/>
      <c r="D270" s="100"/>
      <c r="H270" s="86"/>
      <c r="I270" s="86"/>
      <c r="J270" s="86"/>
      <c r="K270" s="86"/>
      <c r="L270" s="86"/>
      <c r="M270" s="86"/>
      <c r="N270" s="86"/>
      <c r="O270" s="86"/>
    </row>
    <row r="271">
      <c r="C271" s="99"/>
      <c r="D271" s="100"/>
      <c r="H271" s="86"/>
      <c r="I271" s="86"/>
      <c r="J271" s="86"/>
      <c r="K271" s="86"/>
      <c r="L271" s="86"/>
      <c r="M271" s="86"/>
      <c r="N271" s="86"/>
      <c r="O271" s="86"/>
    </row>
    <row r="272">
      <c r="C272" s="99"/>
      <c r="D272" s="100"/>
      <c r="H272" s="86"/>
      <c r="I272" s="86"/>
      <c r="J272" s="86"/>
      <c r="K272" s="86"/>
      <c r="L272" s="86"/>
      <c r="M272" s="86"/>
      <c r="N272" s="86"/>
      <c r="O272" s="86"/>
    </row>
    <row r="273">
      <c r="C273" s="99"/>
      <c r="D273" s="100"/>
      <c r="H273" s="86"/>
      <c r="I273" s="86"/>
      <c r="J273" s="86"/>
      <c r="K273" s="86"/>
      <c r="L273" s="86"/>
      <c r="M273" s="86"/>
      <c r="N273" s="86"/>
      <c r="O273" s="86"/>
    </row>
    <row r="274">
      <c r="C274" s="99"/>
      <c r="D274" s="100"/>
      <c r="H274" s="86"/>
      <c r="I274" s="86"/>
      <c r="J274" s="86"/>
      <c r="K274" s="86"/>
      <c r="L274" s="86"/>
      <c r="M274" s="86"/>
      <c r="N274" s="86"/>
      <c r="O274" s="86"/>
    </row>
    <row r="275">
      <c r="C275" s="99"/>
      <c r="D275" s="100"/>
      <c r="H275" s="86"/>
      <c r="I275" s="86"/>
      <c r="J275" s="86"/>
      <c r="K275" s="86"/>
      <c r="L275" s="86"/>
      <c r="M275" s="86"/>
      <c r="N275" s="86"/>
      <c r="O275" s="86"/>
    </row>
    <row r="276">
      <c r="C276" s="99"/>
      <c r="D276" s="100"/>
      <c r="H276" s="86"/>
      <c r="I276" s="86"/>
      <c r="J276" s="86"/>
      <c r="K276" s="86"/>
      <c r="L276" s="86"/>
      <c r="M276" s="86"/>
      <c r="N276" s="86"/>
      <c r="O276" s="86"/>
    </row>
    <row r="277">
      <c r="C277" s="99"/>
      <c r="D277" s="100"/>
      <c r="H277" s="86"/>
      <c r="I277" s="86"/>
      <c r="J277" s="86"/>
      <c r="K277" s="86"/>
      <c r="L277" s="86"/>
      <c r="M277" s="86"/>
      <c r="N277" s="86"/>
      <c r="O277" s="86"/>
    </row>
    <row r="278">
      <c r="C278" s="99"/>
      <c r="D278" s="100"/>
      <c r="H278" s="86"/>
      <c r="I278" s="86"/>
      <c r="J278" s="86"/>
      <c r="K278" s="86"/>
      <c r="L278" s="86"/>
      <c r="M278" s="86"/>
      <c r="N278" s="86"/>
      <c r="O278" s="86"/>
    </row>
    <row r="279">
      <c r="C279" s="99"/>
      <c r="D279" s="100"/>
      <c r="H279" s="86"/>
      <c r="I279" s="86"/>
      <c r="J279" s="86"/>
      <c r="K279" s="86"/>
      <c r="L279" s="86"/>
      <c r="M279" s="86"/>
      <c r="N279" s="86"/>
      <c r="O279" s="86"/>
    </row>
    <row r="280">
      <c r="C280" s="99"/>
      <c r="D280" s="100"/>
      <c r="H280" s="86"/>
      <c r="I280" s="86"/>
      <c r="J280" s="86"/>
      <c r="K280" s="86"/>
      <c r="L280" s="86"/>
      <c r="M280" s="86"/>
      <c r="N280" s="86"/>
      <c r="O280" s="86"/>
    </row>
    <row r="281">
      <c r="C281" s="99"/>
      <c r="D281" s="100"/>
      <c r="H281" s="86"/>
      <c r="I281" s="86"/>
      <c r="J281" s="86"/>
      <c r="K281" s="86"/>
      <c r="L281" s="86"/>
      <c r="M281" s="86"/>
      <c r="N281" s="86"/>
      <c r="O281" s="86"/>
    </row>
    <row r="282">
      <c r="C282" s="99"/>
      <c r="D282" s="100"/>
      <c r="H282" s="86"/>
      <c r="I282" s="86"/>
      <c r="J282" s="86"/>
      <c r="K282" s="86"/>
      <c r="L282" s="86"/>
      <c r="M282" s="86"/>
      <c r="N282" s="86"/>
      <c r="O282" s="86"/>
    </row>
    <row r="283">
      <c r="C283" s="99"/>
      <c r="D283" s="100"/>
      <c r="H283" s="86"/>
      <c r="I283" s="86"/>
      <c r="J283" s="86"/>
      <c r="K283" s="86"/>
      <c r="L283" s="86"/>
      <c r="M283" s="86"/>
      <c r="N283" s="86"/>
      <c r="O283" s="86"/>
    </row>
    <row r="284">
      <c r="C284" s="99"/>
      <c r="D284" s="100"/>
      <c r="H284" s="86"/>
      <c r="I284" s="86"/>
      <c r="J284" s="86"/>
      <c r="K284" s="86"/>
      <c r="L284" s="86"/>
      <c r="M284" s="86"/>
      <c r="N284" s="86"/>
      <c r="O284" s="86"/>
    </row>
    <row r="285">
      <c r="C285" s="99"/>
      <c r="D285" s="100"/>
      <c r="H285" s="86"/>
      <c r="I285" s="86"/>
      <c r="J285" s="86"/>
      <c r="K285" s="86"/>
      <c r="L285" s="86"/>
      <c r="M285" s="86"/>
      <c r="N285" s="86"/>
      <c r="O285" s="86"/>
    </row>
    <row r="286">
      <c r="C286" s="99"/>
      <c r="D286" s="100"/>
      <c r="H286" s="86"/>
      <c r="I286" s="86"/>
      <c r="J286" s="86"/>
      <c r="K286" s="86"/>
      <c r="L286" s="86"/>
      <c r="M286" s="86"/>
      <c r="N286" s="86"/>
      <c r="O286" s="86"/>
    </row>
    <row r="287">
      <c r="C287" s="99"/>
      <c r="D287" s="100"/>
      <c r="H287" s="86"/>
      <c r="I287" s="86"/>
      <c r="J287" s="86"/>
      <c r="K287" s="86"/>
      <c r="L287" s="86"/>
      <c r="M287" s="86"/>
      <c r="N287" s="86"/>
      <c r="O287" s="86"/>
    </row>
    <row r="288">
      <c r="C288" s="99"/>
      <c r="D288" s="100"/>
      <c r="H288" s="86"/>
      <c r="I288" s="86"/>
      <c r="J288" s="86"/>
      <c r="K288" s="86"/>
      <c r="L288" s="86"/>
      <c r="M288" s="86"/>
      <c r="N288" s="86"/>
      <c r="O288" s="86"/>
    </row>
    <row r="289">
      <c r="C289" s="99"/>
      <c r="D289" s="100"/>
      <c r="H289" s="86"/>
      <c r="I289" s="86"/>
      <c r="J289" s="86"/>
      <c r="K289" s="86"/>
      <c r="L289" s="86"/>
      <c r="M289" s="86"/>
      <c r="N289" s="86"/>
      <c r="O289" s="86"/>
    </row>
    <row r="290">
      <c r="C290" s="99"/>
      <c r="D290" s="100"/>
      <c r="H290" s="86"/>
      <c r="I290" s="86"/>
      <c r="J290" s="86"/>
      <c r="K290" s="86"/>
      <c r="L290" s="86"/>
      <c r="M290" s="86"/>
      <c r="N290" s="86"/>
      <c r="O290" s="86"/>
    </row>
    <row r="291">
      <c r="C291" s="99"/>
      <c r="D291" s="100"/>
      <c r="H291" s="86"/>
      <c r="I291" s="86"/>
      <c r="J291" s="86"/>
      <c r="K291" s="86"/>
      <c r="L291" s="86"/>
      <c r="M291" s="86"/>
      <c r="N291" s="86"/>
      <c r="O291" s="86"/>
    </row>
    <row r="292">
      <c r="C292" s="99"/>
      <c r="D292" s="100"/>
      <c r="H292" s="86"/>
      <c r="I292" s="86"/>
      <c r="J292" s="86"/>
      <c r="K292" s="86"/>
      <c r="L292" s="86"/>
      <c r="M292" s="86"/>
      <c r="N292" s="86"/>
      <c r="O292" s="86"/>
    </row>
    <row r="293">
      <c r="C293" s="99"/>
      <c r="D293" s="100"/>
      <c r="H293" s="86"/>
      <c r="I293" s="86"/>
      <c r="J293" s="86"/>
      <c r="K293" s="86"/>
      <c r="L293" s="86"/>
      <c r="M293" s="86"/>
      <c r="N293" s="86"/>
      <c r="O293" s="86"/>
    </row>
    <row r="294">
      <c r="C294" s="99"/>
      <c r="D294" s="100"/>
      <c r="H294" s="86"/>
      <c r="I294" s="86"/>
      <c r="J294" s="86"/>
      <c r="K294" s="86"/>
      <c r="L294" s="86"/>
      <c r="M294" s="86"/>
      <c r="N294" s="86"/>
      <c r="O294" s="86"/>
    </row>
    <row r="295">
      <c r="C295" s="99"/>
      <c r="D295" s="100"/>
      <c r="H295" s="86"/>
      <c r="I295" s="86"/>
      <c r="J295" s="86"/>
      <c r="K295" s="86"/>
      <c r="L295" s="86"/>
      <c r="M295" s="86"/>
      <c r="N295" s="86"/>
      <c r="O295" s="86"/>
    </row>
    <row r="296">
      <c r="C296" s="99"/>
      <c r="D296" s="100"/>
      <c r="H296" s="86"/>
      <c r="I296" s="86"/>
      <c r="J296" s="86"/>
      <c r="K296" s="86"/>
      <c r="L296" s="86"/>
      <c r="M296" s="86"/>
      <c r="N296" s="86"/>
      <c r="O296" s="86"/>
    </row>
    <row r="297">
      <c r="C297" s="99"/>
      <c r="D297" s="100"/>
      <c r="H297" s="86"/>
      <c r="I297" s="86"/>
      <c r="J297" s="86"/>
      <c r="K297" s="86"/>
      <c r="L297" s="86"/>
      <c r="M297" s="86"/>
      <c r="N297" s="86"/>
      <c r="O297" s="86"/>
    </row>
    <row r="298">
      <c r="C298" s="99"/>
      <c r="D298" s="100"/>
      <c r="H298" s="86"/>
      <c r="I298" s="86"/>
      <c r="J298" s="86"/>
      <c r="K298" s="86"/>
      <c r="L298" s="86"/>
      <c r="M298" s="86"/>
      <c r="N298" s="86"/>
      <c r="O298" s="86"/>
    </row>
    <row r="299">
      <c r="C299" s="99"/>
      <c r="D299" s="100"/>
      <c r="H299" s="86"/>
      <c r="I299" s="86"/>
      <c r="J299" s="86"/>
      <c r="K299" s="86"/>
      <c r="L299" s="86"/>
      <c r="M299" s="86"/>
      <c r="N299" s="86"/>
      <c r="O299" s="86"/>
    </row>
    <row r="300">
      <c r="C300" s="99"/>
      <c r="D300" s="100"/>
      <c r="H300" s="86"/>
      <c r="I300" s="86"/>
      <c r="J300" s="86"/>
      <c r="K300" s="86"/>
      <c r="L300" s="86"/>
      <c r="M300" s="86"/>
      <c r="N300" s="86"/>
      <c r="O300" s="86"/>
    </row>
    <row r="301">
      <c r="C301" s="99"/>
      <c r="D301" s="100"/>
      <c r="H301" s="86"/>
      <c r="I301" s="86"/>
      <c r="J301" s="86"/>
      <c r="K301" s="86"/>
      <c r="L301" s="86"/>
      <c r="M301" s="86"/>
      <c r="N301" s="86"/>
      <c r="O301" s="86"/>
    </row>
    <row r="302">
      <c r="C302" s="99"/>
      <c r="D302" s="100"/>
      <c r="H302" s="86"/>
      <c r="I302" s="86"/>
      <c r="J302" s="86"/>
      <c r="K302" s="86"/>
      <c r="L302" s="86"/>
      <c r="M302" s="86"/>
      <c r="N302" s="86"/>
      <c r="O302" s="86"/>
    </row>
    <row r="303">
      <c r="C303" s="99"/>
      <c r="D303" s="100"/>
      <c r="H303" s="86"/>
      <c r="I303" s="86"/>
      <c r="J303" s="86"/>
      <c r="K303" s="86"/>
      <c r="L303" s="86"/>
      <c r="M303" s="86"/>
      <c r="N303" s="86"/>
      <c r="O303" s="86"/>
    </row>
    <row r="304">
      <c r="C304" s="99"/>
      <c r="D304" s="100"/>
      <c r="H304" s="86"/>
      <c r="I304" s="86"/>
      <c r="J304" s="86"/>
      <c r="K304" s="86"/>
      <c r="L304" s="86"/>
      <c r="M304" s="86"/>
      <c r="N304" s="86"/>
      <c r="O304" s="86"/>
    </row>
    <row r="305">
      <c r="C305" s="99"/>
      <c r="D305" s="100"/>
      <c r="H305" s="86"/>
      <c r="I305" s="86"/>
      <c r="J305" s="86"/>
      <c r="K305" s="86"/>
      <c r="L305" s="86"/>
      <c r="M305" s="86"/>
      <c r="N305" s="86"/>
      <c r="O305" s="86"/>
    </row>
    <row r="306">
      <c r="C306" s="99"/>
      <c r="D306" s="100"/>
      <c r="H306" s="86"/>
      <c r="I306" s="86"/>
      <c r="J306" s="86"/>
      <c r="K306" s="86"/>
      <c r="L306" s="86"/>
      <c r="M306" s="86"/>
      <c r="N306" s="86"/>
      <c r="O306" s="86"/>
    </row>
    <row r="307">
      <c r="C307" s="99"/>
      <c r="D307" s="100"/>
      <c r="H307" s="86"/>
      <c r="I307" s="86"/>
      <c r="J307" s="86"/>
      <c r="K307" s="86"/>
      <c r="L307" s="86"/>
      <c r="M307" s="86"/>
      <c r="N307" s="86"/>
      <c r="O307" s="86"/>
    </row>
    <row r="308">
      <c r="C308" s="99"/>
      <c r="D308" s="100"/>
      <c r="H308" s="86"/>
      <c r="I308" s="86"/>
      <c r="J308" s="86"/>
      <c r="K308" s="86"/>
      <c r="L308" s="86"/>
      <c r="M308" s="86"/>
      <c r="N308" s="86"/>
      <c r="O308" s="86"/>
    </row>
    <row r="309">
      <c r="C309" s="99"/>
      <c r="D309" s="100"/>
      <c r="H309" s="86"/>
      <c r="I309" s="86"/>
      <c r="J309" s="86"/>
      <c r="K309" s="86"/>
      <c r="L309" s="86"/>
      <c r="M309" s="86"/>
      <c r="N309" s="86"/>
      <c r="O309" s="86"/>
    </row>
    <row r="310">
      <c r="C310" s="99"/>
      <c r="D310" s="100"/>
      <c r="H310" s="86"/>
      <c r="I310" s="86"/>
      <c r="J310" s="86"/>
      <c r="K310" s="86"/>
      <c r="L310" s="86"/>
      <c r="M310" s="86"/>
      <c r="N310" s="86"/>
      <c r="O310" s="86"/>
    </row>
    <row r="311">
      <c r="C311" s="99"/>
      <c r="D311" s="100"/>
      <c r="H311" s="86"/>
      <c r="I311" s="86"/>
      <c r="J311" s="86"/>
      <c r="K311" s="86"/>
      <c r="L311" s="86"/>
      <c r="M311" s="86"/>
      <c r="N311" s="86"/>
      <c r="O311" s="86"/>
    </row>
    <row r="312">
      <c r="C312" s="99"/>
      <c r="D312" s="100"/>
      <c r="H312" s="86"/>
      <c r="I312" s="86"/>
      <c r="J312" s="86"/>
      <c r="K312" s="86"/>
      <c r="L312" s="86"/>
      <c r="M312" s="86"/>
      <c r="N312" s="86"/>
      <c r="O312" s="86"/>
    </row>
    <row r="313">
      <c r="C313" s="99"/>
      <c r="D313" s="100"/>
      <c r="H313" s="86"/>
      <c r="I313" s="86"/>
      <c r="J313" s="86"/>
      <c r="K313" s="86"/>
      <c r="L313" s="86"/>
      <c r="M313" s="86"/>
      <c r="N313" s="86"/>
      <c r="O313" s="86"/>
    </row>
    <row r="314">
      <c r="C314" s="99"/>
      <c r="D314" s="100"/>
      <c r="H314" s="86"/>
      <c r="I314" s="86"/>
      <c r="J314" s="86"/>
      <c r="K314" s="86"/>
      <c r="L314" s="86"/>
      <c r="M314" s="86"/>
      <c r="N314" s="86"/>
      <c r="O314" s="86"/>
    </row>
    <row r="315">
      <c r="C315" s="99"/>
      <c r="D315" s="100"/>
      <c r="H315" s="86"/>
      <c r="I315" s="86"/>
      <c r="J315" s="86"/>
      <c r="K315" s="86"/>
      <c r="L315" s="86"/>
      <c r="M315" s="86"/>
      <c r="N315" s="86"/>
      <c r="O315" s="86"/>
    </row>
    <row r="316">
      <c r="C316" s="99"/>
      <c r="D316" s="100"/>
      <c r="H316" s="86"/>
      <c r="I316" s="86"/>
      <c r="J316" s="86"/>
      <c r="K316" s="86"/>
      <c r="L316" s="86"/>
      <c r="M316" s="86"/>
      <c r="N316" s="86"/>
      <c r="O316" s="86"/>
    </row>
    <row r="317">
      <c r="C317" s="99"/>
      <c r="D317" s="100"/>
      <c r="H317" s="86"/>
      <c r="I317" s="86"/>
      <c r="J317" s="86"/>
      <c r="K317" s="86"/>
      <c r="L317" s="86"/>
      <c r="M317" s="86"/>
      <c r="N317" s="86"/>
      <c r="O317" s="86"/>
    </row>
    <row r="318">
      <c r="C318" s="99"/>
      <c r="D318" s="100"/>
      <c r="H318" s="86"/>
      <c r="I318" s="86"/>
      <c r="J318" s="86"/>
      <c r="K318" s="86"/>
      <c r="L318" s="86"/>
      <c r="M318" s="86"/>
      <c r="N318" s="86"/>
      <c r="O318" s="86"/>
    </row>
    <row r="319">
      <c r="C319" s="99"/>
      <c r="D319" s="100"/>
      <c r="H319" s="86"/>
      <c r="I319" s="86"/>
      <c r="J319" s="86"/>
      <c r="K319" s="86"/>
      <c r="L319" s="86"/>
      <c r="M319" s="86"/>
      <c r="N319" s="86"/>
      <c r="O319" s="86"/>
    </row>
    <row r="320">
      <c r="C320" s="99"/>
      <c r="D320" s="100"/>
      <c r="H320" s="86"/>
      <c r="I320" s="86"/>
      <c r="J320" s="86"/>
      <c r="K320" s="86"/>
      <c r="L320" s="86"/>
      <c r="M320" s="86"/>
      <c r="N320" s="86"/>
      <c r="O320" s="86"/>
    </row>
    <row r="321">
      <c r="C321" s="99"/>
      <c r="D321" s="100"/>
      <c r="H321" s="86"/>
      <c r="I321" s="86"/>
      <c r="J321" s="86"/>
      <c r="K321" s="86"/>
      <c r="L321" s="86"/>
      <c r="M321" s="86"/>
      <c r="N321" s="86"/>
      <c r="O321" s="86"/>
    </row>
    <row r="322">
      <c r="C322" s="99"/>
      <c r="D322" s="100"/>
      <c r="H322" s="86"/>
      <c r="I322" s="86"/>
      <c r="J322" s="86"/>
      <c r="K322" s="86"/>
      <c r="L322" s="86"/>
      <c r="M322" s="86"/>
      <c r="N322" s="86"/>
      <c r="O322" s="86"/>
    </row>
    <row r="323">
      <c r="C323" s="99"/>
      <c r="D323" s="100"/>
      <c r="H323" s="86"/>
      <c r="I323" s="86"/>
      <c r="J323" s="86"/>
      <c r="K323" s="86"/>
      <c r="L323" s="86"/>
      <c r="M323" s="86"/>
      <c r="N323" s="86"/>
      <c r="O323" s="86"/>
    </row>
    <row r="324">
      <c r="C324" s="99"/>
      <c r="D324" s="100"/>
      <c r="H324" s="86"/>
      <c r="I324" s="86"/>
      <c r="J324" s="86"/>
      <c r="K324" s="86"/>
      <c r="L324" s="86"/>
      <c r="M324" s="86"/>
      <c r="N324" s="86"/>
      <c r="O324" s="86"/>
    </row>
    <row r="325">
      <c r="C325" s="99"/>
      <c r="D325" s="100"/>
      <c r="H325" s="86"/>
      <c r="I325" s="86"/>
      <c r="J325" s="86"/>
      <c r="K325" s="86"/>
      <c r="L325" s="86"/>
      <c r="M325" s="86"/>
      <c r="N325" s="86"/>
      <c r="O325" s="86"/>
    </row>
    <row r="326">
      <c r="C326" s="99"/>
      <c r="D326" s="100"/>
      <c r="H326" s="86"/>
      <c r="I326" s="86"/>
      <c r="J326" s="86"/>
      <c r="K326" s="86"/>
      <c r="L326" s="86"/>
      <c r="M326" s="86"/>
      <c r="N326" s="86"/>
      <c r="O326" s="86"/>
    </row>
    <row r="327">
      <c r="C327" s="99"/>
      <c r="D327" s="100"/>
      <c r="H327" s="86"/>
      <c r="I327" s="86"/>
      <c r="J327" s="86"/>
      <c r="K327" s="86"/>
      <c r="L327" s="86"/>
      <c r="M327" s="86"/>
      <c r="N327" s="86"/>
      <c r="O327" s="86"/>
    </row>
    <row r="328">
      <c r="C328" s="99"/>
      <c r="D328" s="100"/>
      <c r="H328" s="86"/>
      <c r="I328" s="86"/>
      <c r="J328" s="86"/>
      <c r="K328" s="86"/>
      <c r="L328" s="86"/>
      <c r="M328" s="86"/>
      <c r="N328" s="86"/>
      <c r="O328" s="86"/>
    </row>
    <row r="329">
      <c r="C329" s="99"/>
      <c r="D329" s="100"/>
      <c r="H329" s="86"/>
      <c r="I329" s="86"/>
      <c r="J329" s="86"/>
      <c r="K329" s="86"/>
      <c r="L329" s="86"/>
      <c r="M329" s="86"/>
      <c r="N329" s="86"/>
      <c r="O329" s="86"/>
    </row>
    <row r="330">
      <c r="C330" s="99"/>
      <c r="D330" s="100"/>
      <c r="H330" s="86"/>
      <c r="I330" s="86"/>
      <c r="J330" s="86"/>
      <c r="K330" s="86"/>
      <c r="L330" s="86"/>
      <c r="M330" s="86"/>
      <c r="N330" s="86"/>
      <c r="O330" s="86"/>
    </row>
    <row r="331">
      <c r="C331" s="99"/>
      <c r="D331" s="100"/>
      <c r="H331" s="86"/>
      <c r="I331" s="86"/>
      <c r="J331" s="86"/>
      <c r="K331" s="86"/>
      <c r="L331" s="86"/>
      <c r="M331" s="86"/>
      <c r="N331" s="86"/>
      <c r="O331" s="86"/>
    </row>
    <row r="332">
      <c r="C332" s="99"/>
      <c r="D332" s="100"/>
      <c r="H332" s="86"/>
      <c r="I332" s="86"/>
      <c r="J332" s="86"/>
      <c r="K332" s="86"/>
      <c r="L332" s="86"/>
      <c r="M332" s="86"/>
      <c r="N332" s="86"/>
      <c r="O332" s="86"/>
    </row>
    <row r="333">
      <c r="C333" s="99"/>
      <c r="D333" s="100"/>
      <c r="H333" s="86"/>
      <c r="I333" s="86"/>
      <c r="J333" s="86"/>
      <c r="K333" s="86"/>
      <c r="L333" s="86"/>
      <c r="M333" s="86"/>
      <c r="N333" s="86"/>
      <c r="O333" s="86"/>
    </row>
    <row r="334">
      <c r="C334" s="99"/>
      <c r="D334" s="100"/>
      <c r="H334" s="86"/>
      <c r="I334" s="86"/>
      <c r="J334" s="86"/>
      <c r="K334" s="86"/>
      <c r="L334" s="86"/>
      <c r="M334" s="86"/>
      <c r="N334" s="86"/>
      <c r="O334" s="86"/>
    </row>
    <row r="335">
      <c r="C335" s="99"/>
      <c r="D335" s="100"/>
      <c r="H335" s="86"/>
      <c r="I335" s="86"/>
      <c r="J335" s="86"/>
      <c r="K335" s="86"/>
      <c r="L335" s="86"/>
      <c r="M335" s="86"/>
      <c r="N335" s="86"/>
      <c r="O335" s="86"/>
    </row>
    <row r="336">
      <c r="C336" s="99"/>
      <c r="D336" s="100"/>
      <c r="H336" s="86"/>
      <c r="I336" s="86"/>
      <c r="J336" s="86"/>
      <c r="K336" s="86"/>
      <c r="L336" s="86"/>
      <c r="M336" s="86"/>
      <c r="N336" s="86"/>
      <c r="O336" s="86"/>
    </row>
    <row r="337">
      <c r="C337" s="99"/>
      <c r="D337" s="100"/>
      <c r="H337" s="86"/>
      <c r="I337" s="86"/>
      <c r="J337" s="86"/>
      <c r="K337" s="86"/>
      <c r="L337" s="86"/>
      <c r="M337" s="86"/>
      <c r="N337" s="86"/>
      <c r="O337" s="86"/>
    </row>
    <row r="338">
      <c r="C338" s="99"/>
      <c r="D338" s="100"/>
      <c r="H338" s="86"/>
      <c r="I338" s="86"/>
      <c r="J338" s="86"/>
      <c r="K338" s="86"/>
      <c r="L338" s="86"/>
      <c r="M338" s="86"/>
      <c r="N338" s="86"/>
      <c r="O338" s="86"/>
    </row>
    <row r="339">
      <c r="C339" s="99"/>
      <c r="D339" s="100"/>
      <c r="H339" s="86"/>
      <c r="I339" s="86"/>
      <c r="J339" s="86"/>
      <c r="K339" s="86"/>
      <c r="L339" s="86"/>
      <c r="M339" s="86"/>
      <c r="N339" s="86"/>
      <c r="O339" s="86"/>
    </row>
    <row r="340">
      <c r="C340" s="99"/>
      <c r="D340" s="100"/>
      <c r="H340" s="86"/>
      <c r="I340" s="86"/>
      <c r="J340" s="86"/>
      <c r="K340" s="86"/>
      <c r="L340" s="86"/>
      <c r="M340" s="86"/>
      <c r="N340" s="86"/>
      <c r="O340" s="86"/>
    </row>
    <row r="341">
      <c r="C341" s="99"/>
      <c r="D341" s="100"/>
      <c r="H341" s="86"/>
      <c r="I341" s="86"/>
      <c r="J341" s="86"/>
      <c r="K341" s="86"/>
      <c r="L341" s="86"/>
      <c r="M341" s="86"/>
      <c r="N341" s="86"/>
      <c r="O341" s="86"/>
    </row>
    <row r="342">
      <c r="C342" s="99"/>
      <c r="D342" s="100"/>
      <c r="H342" s="86"/>
      <c r="I342" s="86"/>
      <c r="J342" s="86"/>
      <c r="K342" s="86"/>
      <c r="L342" s="86"/>
      <c r="M342" s="86"/>
      <c r="N342" s="86"/>
      <c r="O342" s="86"/>
    </row>
    <row r="343">
      <c r="C343" s="99"/>
      <c r="D343" s="100"/>
      <c r="H343" s="86"/>
      <c r="I343" s="86"/>
      <c r="J343" s="86"/>
      <c r="K343" s="86"/>
      <c r="L343" s="86"/>
      <c r="M343" s="86"/>
      <c r="N343" s="86"/>
      <c r="O343" s="86"/>
    </row>
    <row r="344">
      <c r="C344" s="99"/>
      <c r="D344" s="100"/>
      <c r="H344" s="86"/>
      <c r="I344" s="86"/>
      <c r="J344" s="86"/>
      <c r="K344" s="86"/>
      <c r="L344" s="86"/>
      <c r="M344" s="86"/>
      <c r="N344" s="86"/>
      <c r="O344" s="86"/>
    </row>
    <row r="345">
      <c r="C345" s="99"/>
      <c r="D345" s="100"/>
      <c r="H345" s="86"/>
      <c r="I345" s="86"/>
      <c r="J345" s="86"/>
      <c r="K345" s="86"/>
      <c r="L345" s="86"/>
      <c r="M345" s="86"/>
      <c r="N345" s="86"/>
      <c r="O345" s="86"/>
    </row>
    <row r="346">
      <c r="C346" s="99"/>
      <c r="D346" s="100"/>
      <c r="H346" s="86"/>
      <c r="I346" s="86"/>
      <c r="J346" s="86"/>
      <c r="K346" s="86"/>
      <c r="L346" s="86"/>
      <c r="M346" s="86"/>
      <c r="N346" s="86"/>
      <c r="O346" s="86"/>
    </row>
    <row r="347">
      <c r="C347" s="99"/>
      <c r="D347" s="100"/>
      <c r="H347" s="86"/>
      <c r="I347" s="86"/>
      <c r="J347" s="86"/>
      <c r="K347" s="86"/>
      <c r="L347" s="86"/>
      <c r="M347" s="86"/>
      <c r="N347" s="86"/>
      <c r="O347" s="86"/>
    </row>
    <row r="348">
      <c r="C348" s="99"/>
      <c r="D348" s="100"/>
      <c r="H348" s="86"/>
      <c r="I348" s="86"/>
      <c r="J348" s="86"/>
      <c r="K348" s="86"/>
      <c r="L348" s="86"/>
      <c r="M348" s="86"/>
      <c r="N348" s="86"/>
      <c r="O348" s="86"/>
    </row>
    <row r="349">
      <c r="C349" s="99"/>
      <c r="D349" s="100"/>
      <c r="H349" s="86"/>
      <c r="I349" s="86"/>
      <c r="J349" s="86"/>
      <c r="K349" s="86"/>
      <c r="L349" s="86"/>
      <c r="M349" s="86"/>
      <c r="N349" s="86"/>
      <c r="O349" s="86"/>
    </row>
    <row r="350">
      <c r="C350" s="99"/>
      <c r="D350" s="100"/>
      <c r="H350" s="86"/>
      <c r="I350" s="86"/>
      <c r="J350" s="86"/>
      <c r="K350" s="86"/>
      <c r="L350" s="86"/>
      <c r="M350" s="86"/>
      <c r="N350" s="86"/>
      <c r="O350" s="86"/>
    </row>
    <row r="351">
      <c r="C351" s="99"/>
      <c r="D351" s="100"/>
      <c r="H351" s="86"/>
      <c r="I351" s="86"/>
      <c r="J351" s="86"/>
      <c r="K351" s="86"/>
      <c r="L351" s="86"/>
      <c r="M351" s="86"/>
      <c r="N351" s="86"/>
      <c r="O351" s="86"/>
    </row>
    <row r="352">
      <c r="C352" s="99"/>
      <c r="D352" s="100"/>
      <c r="H352" s="86"/>
      <c r="I352" s="86"/>
      <c r="J352" s="86"/>
      <c r="K352" s="86"/>
      <c r="L352" s="86"/>
      <c r="M352" s="86"/>
      <c r="N352" s="86"/>
      <c r="O352" s="86"/>
    </row>
    <row r="353">
      <c r="C353" s="99"/>
      <c r="D353" s="100"/>
      <c r="H353" s="86"/>
      <c r="I353" s="86"/>
      <c r="J353" s="86"/>
      <c r="K353" s="86"/>
      <c r="L353" s="86"/>
      <c r="M353" s="86"/>
      <c r="N353" s="86"/>
      <c r="O353" s="86"/>
    </row>
    <row r="354">
      <c r="C354" s="99"/>
      <c r="D354" s="100"/>
      <c r="H354" s="86"/>
      <c r="I354" s="86"/>
      <c r="J354" s="86"/>
      <c r="K354" s="86"/>
      <c r="L354" s="86"/>
      <c r="M354" s="86"/>
      <c r="N354" s="86"/>
      <c r="O354" s="86"/>
    </row>
    <row r="355">
      <c r="C355" s="99"/>
      <c r="D355" s="100"/>
      <c r="H355" s="86"/>
      <c r="I355" s="86"/>
      <c r="J355" s="86"/>
      <c r="K355" s="86"/>
      <c r="L355" s="86"/>
      <c r="M355" s="86"/>
      <c r="N355" s="86"/>
      <c r="O355" s="86"/>
    </row>
    <row r="356">
      <c r="C356" s="99"/>
      <c r="D356" s="100"/>
      <c r="H356" s="86"/>
      <c r="I356" s="86"/>
      <c r="J356" s="86"/>
      <c r="K356" s="86"/>
      <c r="L356" s="86"/>
      <c r="M356" s="86"/>
      <c r="N356" s="86"/>
      <c r="O356" s="86"/>
    </row>
    <row r="357">
      <c r="C357" s="99"/>
      <c r="D357" s="100"/>
      <c r="H357" s="86"/>
      <c r="I357" s="86"/>
      <c r="J357" s="86"/>
      <c r="K357" s="86"/>
      <c r="L357" s="86"/>
      <c r="M357" s="86"/>
      <c r="N357" s="86"/>
      <c r="O357" s="86"/>
    </row>
    <row r="358">
      <c r="C358" s="99"/>
      <c r="D358" s="100"/>
      <c r="H358" s="86"/>
      <c r="I358" s="86"/>
      <c r="J358" s="86"/>
      <c r="K358" s="86"/>
      <c r="L358" s="86"/>
      <c r="M358" s="86"/>
      <c r="N358" s="86"/>
      <c r="O358" s="86"/>
    </row>
    <row r="359">
      <c r="C359" s="99"/>
      <c r="D359" s="100"/>
      <c r="H359" s="86"/>
      <c r="I359" s="86"/>
      <c r="J359" s="86"/>
      <c r="K359" s="86"/>
      <c r="L359" s="86"/>
      <c r="M359" s="86"/>
      <c r="N359" s="86"/>
      <c r="O359" s="86"/>
    </row>
    <row r="360">
      <c r="C360" s="99"/>
      <c r="D360" s="100"/>
      <c r="H360" s="86"/>
      <c r="I360" s="86"/>
      <c r="J360" s="86"/>
      <c r="K360" s="86"/>
      <c r="L360" s="86"/>
      <c r="M360" s="86"/>
      <c r="N360" s="86"/>
      <c r="O360" s="86"/>
    </row>
    <row r="361">
      <c r="C361" s="99"/>
      <c r="D361" s="100"/>
      <c r="H361" s="86"/>
      <c r="I361" s="86"/>
      <c r="J361" s="86"/>
      <c r="K361" s="86"/>
      <c r="L361" s="86"/>
      <c r="M361" s="86"/>
      <c r="N361" s="86"/>
      <c r="O361" s="86"/>
    </row>
    <row r="362">
      <c r="C362" s="99"/>
      <c r="D362" s="100"/>
      <c r="H362" s="86"/>
      <c r="I362" s="86"/>
      <c r="J362" s="86"/>
      <c r="K362" s="86"/>
      <c r="L362" s="86"/>
      <c r="M362" s="86"/>
      <c r="N362" s="86"/>
      <c r="O362" s="86"/>
    </row>
    <row r="363">
      <c r="C363" s="99"/>
      <c r="D363" s="100"/>
      <c r="H363" s="86"/>
      <c r="I363" s="86"/>
      <c r="J363" s="86"/>
      <c r="K363" s="86"/>
      <c r="L363" s="86"/>
      <c r="M363" s="86"/>
      <c r="N363" s="86"/>
      <c r="O363" s="86"/>
    </row>
    <row r="364">
      <c r="C364" s="99"/>
      <c r="D364" s="100"/>
      <c r="H364" s="86"/>
      <c r="I364" s="86"/>
      <c r="J364" s="86"/>
      <c r="K364" s="86"/>
      <c r="L364" s="86"/>
      <c r="M364" s="86"/>
      <c r="N364" s="86"/>
      <c r="O364" s="86"/>
    </row>
    <row r="365">
      <c r="C365" s="99"/>
      <c r="D365" s="100"/>
      <c r="H365" s="86"/>
      <c r="I365" s="86"/>
      <c r="J365" s="86"/>
      <c r="K365" s="86"/>
      <c r="L365" s="86"/>
      <c r="M365" s="86"/>
      <c r="N365" s="86"/>
      <c r="O365" s="86"/>
    </row>
    <row r="366">
      <c r="C366" s="99"/>
      <c r="D366" s="100"/>
      <c r="H366" s="86"/>
      <c r="I366" s="86"/>
      <c r="J366" s="86"/>
      <c r="K366" s="86"/>
      <c r="L366" s="86"/>
      <c r="M366" s="86"/>
      <c r="N366" s="86"/>
      <c r="O366" s="86"/>
    </row>
    <row r="367">
      <c r="C367" s="99"/>
      <c r="D367" s="100"/>
      <c r="H367" s="86"/>
      <c r="I367" s="86"/>
      <c r="J367" s="86"/>
      <c r="K367" s="86"/>
      <c r="L367" s="86"/>
      <c r="M367" s="86"/>
      <c r="N367" s="86"/>
      <c r="O367" s="86"/>
    </row>
    <row r="368">
      <c r="C368" s="99"/>
      <c r="D368" s="100"/>
      <c r="H368" s="86"/>
      <c r="I368" s="86"/>
      <c r="J368" s="86"/>
      <c r="K368" s="86"/>
      <c r="L368" s="86"/>
      <c r="M368" s="86"/>
      <c r="N368" s="86"/>
      <c r="O368" s="86"/>
    </row>
    <row r="369">
      <c r="C369" s="99"/>
      <c r="D369" s="100"/>
      <c r="H369" s="86"/>
      <c r="I369" s="86"/>
      <c r="J369" s="86"/>
      <c r="K369" s="86"/>
      <c r="L369" s="86"/>
      <c r="M369" s="86"/>
      <c r="N369" s="86"/>
      <c r="O369" s="86"/>
    </row>
    <row r="370">
      <c r="C370" s="99"/>
      <c r="D370" s="100"/>
      <c r="H370" s="86"/>
      <c r="I370" s="86"/>
      <c r="J370" s="86"/>
      <c r="K370" s="86"/>
      <c r="L370" s="86"/>
      <c r="M370" s="86"/>
      <c r="N370" s="86"/>
      <c r="O370" s="86"/>
    </row>
    <row r="371">
      <c r="C371" s="99"/>
      <c r="D371" s="100"/>
      <c r="H371" s="86"/>
      <c r="I371" s="86"/>
      <c r="J371" s="86"/>
      <c r="K371" s="86"/>
      <c r="L371" s="86"/>
      <c r="M371" s="86"/>
      <c r="N371" s="86"/>
      <c r="O371" s="86"/>
    </row>
    <row r="372">
      <c r="C372" s="99"/>
      <c r="D372" s="100"/>
      <c r="H372" s="86"/>
      <c r="I372" s="86"/>
      <c r="J372" s="86"/>
      <c r="K372" s="86"/>
      <c r="L372" s="86"/>
      <c r="M372" s="86"/>
      <c r="N372" s="86"/>
      <c r="O372" s="86"/>
    </row>
    <row r="373">
      <c r="C373" s="99"/>
      <c r="D373" s="100"/>
      <c r="H373" s="86"/>
      <c r="I373" s="86"/>
      <c r="J373" s="86"/>
      <c r="K373" s="86"/>
      <c r="L373" s="86"/>
      <c r="M373" s="86"/>
      <c r="N373" s="86"/>
      <c r="O373" s="86"/>
    </row>
    <row r="374">
      <c r="C374" s="99"/>
      <c r="D374" s="100"/>
      <c r="H374" s="86"/>
      <c r="I374" s="86"/>
      <c r="J374" s="86"/>
      <c r="K374" s="86"/>
      <c r="L374" s="86"/>
      <c r="M374" s="86"/>
      <c r="N374" s="86"/>
      <c r="O374" s="86"/>
    </row>
    <row r="375">
      <c r="C375" s="99"/>
      <c r="D375" s="100"/>
      <c r="H375" s="86"/>
      <c r="I375" s="86"/>
      <c r="J375" s="86"/>
      <c r="K375" s="86"/>
      <c r="L375" s="86"/>
      <c r="M375" s="86"/>
      <c r="N375" s="86"/>
      <c r="O375" s="86"/>
    </row>
    <row r="376">
      <c r="C376" s="99"/>
      <c r="D376" s="100"/>
      <c r="H376" s="86"/>
      <c r="I376" s="86"/>
      <c r="J376" s="86"/>
      <c r="K376" s="86"/>
      <c r="L376" s="86"/>
      <c r="M376" s="86"/>
      <c r="N376" s="86"/>
      <c r="O376" s="86"/>
    </row>
    <row r="377">
      <c r="C377" s="99"/>
      <c r="D377" s="100"/>
      <c r="H377" s="86"/>
      <c r="I377" s="86"/>
      <c r="J377" s="86"/>
      <c r="K377" s="86"/>
      <c r="L377" s="86"/>
      <c r="M377" s="86"/>
      <c r="N377" s="86"/>
      <c r="O377" s="86"/>
    </row>
    <row r="378">
      <c r="C378" s="99"/>
      <c r="D378" s="100"/>
      <c r="H378" s="86"/>
      <c r="I378" s="86"/>
      <c r="J378" s="86"/>
      <c r="K378" s="86"/>
      <c r="L378" s="86"/>
      <c r="M378" s="86"/>
      <c r="N378" s="86"/>
      <c r="O378" s="86"/>
    </row>
    <row r="379">
      <c r="C379" s="99"/>
      <c r="D379" s="100"/>
      <c r="H379" s="86"/>
      <c r="I379" s="86"/>
      <c r="J379" s="86"/>
      <c r="K379" s="86"/>
      <c r="L379" s="86"/>
      <c r="M379" s="86"/>
      <c r="N379" s="86"/>
      <c r="O379" s="86"/>
    </row>
    <row r="380">
      <c r="C380" s="99"/>
      <c r="D380" s="100"/>
      <c r="H380" s="86"/>
      <c r="I380" s="86"/>
      <c r="J380" s="86"/>
      <c r="K380" s="86"/>
      <c r="L380" s="86"/>
      <c r="M380" s="86"/>
      <c r="N380" s="86"/>
      <c r="O380" s="86"/>
    </row>
    <row r="381">
      <c r="C381" s="99"/>
      <c r="D381" s="100"/>
      <c r="H381" s="86"/>
      <c r="I381" s="86"/>
      <c r="J381" s="86"/>
      <c r="K381" s="86"/>
      <c r="L381" s="86"/>
      <c r="M381" s="86"/>
      <c r="N381" s="86"/>
      <c r="O381" s="86"/>
    </row>
    <row r="382">
      <c r="C382" s="99"/>
      <c r="D382" s="100"/>
      <c r="H382" s="86"/>
      <c r="I382" s="86"/>
      <c r="J382" s="86"/>
      <c r="K382" s="86"/>
      <c r="L382" s="86"/>
      <c r="M382" s="86"/>
      <c r="N382" s="86"/>
      <c r="O382" s="86"/>
    </row>
    <row r="383">
      <c r="C383" s="99"/>
      <c r="D383" s="100"/>
      <c r="H383" s="86"/>
      <c r="I383" s="86"/>
      <c r="J383" s="86"/>
      <c r="K383" s="86"/>
      <c r="L383" s="86"/>
      <c r="M383" s="86"/>
      <c r="N383" s="86"/>
      <c r="O383" s="86"/>
    </row>
    <row r="384">
      <c r="C384" s="99"/>
      <c r="D384" s="100"/>
      <c r="H384" s="86"/>
      <c r="I384" s="86"/>
      <c r="J384" s="86"/>
      <c r="K384" s="86"/>
      <c r="L384" s="86"/>
      <c r="M384" s="86"/>
      <c r="N384" s="86"/>
      <c r="O384" s="86"/>
    </row>
    <row r="385">
      <c r="C385" s="99"/>
      <c r="D385" s="100"/>
      <c r="H385" s="86"/>
      <c r="I385" s="86"/>
      <c r="J385" s="86"/>
      <c r="K385" s="86"/>
      <c r="L385" s="86"/>
      <c r="M385" s="86"/>
      <c r="N385" s="86"/>
      <c r="O385" s="86"/>
    </row>
    <row r="386">
      <c r="C386" s="99"/>
      <c r="D386" s="100"/>
      <c r="H386" s="86"/>
      <c r="I386" s="86"/>
      <c r="J386" s="86"/>
      <c r="K386" s="86"/>
      <c r="L386" s="86"/>
      <c r="M386" s="86"/>
      <c r="N386" s="86"/>
      <c r="O386" s="86"/>
    </row>
    <row r="387">
      <c r="C387" s="99"/>
      <c r="D387" s="100"/>
      <c r="H387" s="86"/>
      <c r="I387" s="86"/>
      <c r="J387" s="86"/>
      <c r="K387" s="86"/>
      <c r="L387" s="86"/>
      <c r="M387" s="86"/>
      <c r="N387" s="86"/>
      <c r="O387" s="86"/>
    </row>
    <row r="388">
      <c r="C388" s="99"/>
      <c r="D388" s="100"/>
      <c r="H388" s="86"/>
      <c r="I388" s="86"/>
      <c r="J388" s="86"/>
      <c r="K388" s="86"/>
      <c r="L388" s="86"/>
      <c r="M388" s="86"/>
      <c r="N388" s="86"/>
      <c r="O388" s="86"/>
    </row>
    <row r="389">
      <c r="C389" s="99"/>
      <c r="D389" s="100"/>
      <c r="H389" s="86"/>
      <c r="I389" s="86"/>
      <c r="J389" s="86"/>
      <c r="K389" s="86"/>
      <c r="L389" s="86"/>
      <c r="M389" s="86"/>
      <c r="N389" s="86"/>
      <c r="O389" s="86"/>
    </row>
    <row r="390">
      <c r="C390" s="99"/>
      <c r="D390" s="100"/>
      <c r="H390" s="86"/>
      <c r="I390" s="86"/>
      <c r="J390" s="86"/>
      <c r="K390" s="86"/>
      <c r="L390" s="86"/>
      <c r="M390" s="86"/>
      <c r="N390" s="86"/>
      <c r="O390" s="86"/>
    </row>
    <row r="391">
      <c r="C391" s="99"/>
      <c r="D391" s="100"/>
      <c r="H391" s="86"/>
      <c r="I391" s="86"/>
      <c r="J391" s="86"/>
      <c r="K391" s="86"/>
      <c r="L391" s="86"/>
      <c r="M391" s="86"/>
      <c r="N391" s="86"/>
      <c r="O391" s="86"/>
    </row>
    <row r="392">
      <c r="C392" s="99"/>
      <c r="D392" s="100"/>
      <c r="H392" s="86"/>
      <c r="I392" s="86"/>
      <c r="J392" s="86"/>
      <c r="K392" s="86"/>
      <c r="L392" s="86"/>
      <c r="M392" s="86"/>
      <c r="N392" s="86"/>
      <c r="O392" s="86"/>
    </row>
    <row r="393">
      <c r="C393" s="99"/>
      <c r="D393" s="100"/>
      <c r="H393" s="86"/>
      <c r="I393" s="86"/>
      <c r="J393" s="86"/>
      <c r="K393" s="86"/>
      <c r="L393" s="86"/>
      <c r="M393" s="86"/>
      <c r="N393" s="86"/>
      <c r="O393" s="86"/>
    </row>
    <row r="394">
      <c r="C394" s="99"/>
      <c r="D394" s="100"/>
      <c r="H394" s="86"/>
      <c r="I394" s="86"/>
      <c r="J394" s="86"/>
      <c r="K394" s="86"/>
      <c r="L394" s="86"/>
      <c r="M394" s="86"/>
      <c r="N394" s="86"/>
      <c r="O394" s="86"/>
    </row>
    <row r="395">
      <c r="C395" s="99"/>
      <c r="D395" s="100"/>
      <c r="H395" s="86"/>
      <c r="I395" s="86"/>
      <c r="J395" s="86"/>
      <c r="K395" s="86"/>
      <c r="L395" s="86"/>
      <c r="M395" s="86"/>
      <c r="N395" s="86"/>
      <c r="O395" s="86"/>
    </row>
    <row r="396">
      <c r="C396" s="99"/>
      <c r="D396" s="100"/>
      <c r="H396" s="86"/>
      <c r="I396" s="86"/>
      <c r="J396" s="86"/>
      <c r="K396" s="86"/>
      <c r="L396" s="86"/>
      <c r="M396" s="86"/>
      <c r="N396" s="86"/>
      <c r="O396" s="86"/>
    </row>
    <row r="397">
      <c r="C397" s="99"/>
      <c r="D397" s="100"/>
      <c r="H397" s="86"/>
      <c r="I397" s="86"/>
      <c r="J397" s="86"/>
      <c r="K397" s="86"/>
      <c r="L397" s="86"/>
      <c r="M397" s="86"/>
      <c r="N397" s="86"/>
      <c r="O397" s="86"/>
    </row>
    <row r="398">
      <c r="C398" s="99"/>
      <c r="D398" s="100"/>
      <c r="H398" s="86"/>
      <c r="I398" s="86"/>
      <c r="J398" s="86"/>
      <c r="K398" s="86"/>
      <c r="L398" s="86"/>
      <c r="M398" s="86"/>
      <c r="N398" s="86"/>
      <c r="O398" s="86"/>
    </row>
    <row r="399">
      <c r="C399" s="99"/>
      <c r="D399" s="100"/>
      <c r="H399" s="86"/>
      <c r="I399" s="86"/>
      <c r="J399" s="86"/>
      <c r="K399" s="86"/>
      <c r="L399" s="86"/>
      <c r="M399" s="86"/>
      <c r="N399" s="86"/>
      <c r="O399" s="86"/>
    </row>
    <row r="400">
      <c r="C400" s="99"/>
      <c r="D400" s="100"/>
      <c r="H400" s="86"/>
      <c r="I400" s="86"/>
      <c r="J400" s="86"/>
      <c r="K400" s="86"/>
      <c r="L400" s="86"/>
      <c r="M400" s="86"/>
      <c r="N400" s="86"/>
      <c r="O400" s="86"/>
    </row>
    <row r="401">
      <c r="C401" s="99"/>
      <c r="D401" s="100"/>
      <c r="H401" s="86"/>
      <c r="I401" s="86"/>
      <c r="J401" s="86"/>
      <c r="K401" s="86"/>
      <c r="L401" s="86"/>
      <c r="M401" s="86"/>
      <c r="N401" s="86"/>
      <c r="O401" s="86"/>
    </row>
    <row r="402">
      <c r="C402" s="99"/>
      <c r="D402" s="100"/>
      <c r="H402" s="86"/>
      <c r="I402" s="86"/>
      <c r="J402" s="86"/>
      <c r="K402" s="86"/>
      <c r="L402" s="86"/>
      <c r="M402" s="86"/>
      <c r="N402" s="86"/>
      <c r="O402" s="86"/>
    </row>
    <row r="403">
      <c r="C403" s="99"/>
      <c r="D403" s="100"/>
      <c r="H403" s="86"/>
      <c r="I403" s="86"/>
      <c r="J403" s="86"/>
      <c r="K403" s="86"/>
      <c r="L403" s="86"/>
      <c r="M403" s="86"/>
      <c r="N403" s="86"/>
      <c r="O403" s="86"/>
    </row>
    <row r="404">
      <c r="C404" s="99"/>
      <c r="D404" s="100"/>
      <c r="H404" s="86"/>
      <c r="I404" s="86"/>
      <c r="J404" s="86"/>
      <c r="K404" s="86"/>
      <c r="L404" s="86"/>
      <c r="M404" s="86"/>
      <c r="N404" s="86"/>
      <c r="O404" s="86"/>
    </row>
    <row r="405">
      <c r="C405" s="99"/>
      <c r="D405" s="100"/>
      <c r="H405" s="86"/>
      <c r="I405" s="86"/>
      <c r="J405" s="86"/>
      <c r="K405" s="86"/>
      <c r="L405" s="86"/>
      <c r="M405" s="86"/>
      <c r="N405" s="86"/>
      <c r="O405" s="86"/>
    </row>
    <row r="406">
      <c r="C406" s="99"/>
      <c r="D406" s="100"/>
      <c r="H406" s="86"/>
      <c r="I406" s="86"/>
      <c r="J406" s="86"/>
      <c r="K406" s="86"/>
      <c r="L406" s="86"/>
      <c r="M406" s="86"/>
      <c r="N406" s="86"/>
      <c r="O406" s="86"/>
    </row>
    <row r="407">
      <c r="C407" s="99"/>
      <c r="D407" s="100"/>
      <c r="H407" s="86"/>
      <c r="I407" s="86"/>
      <c r="J407" s="86"/>
      <c r="K407" s="86"/>
      <c r="L407" s="86"/>
      <c r="M407" s="86"/>
      <c r="N407" s="86"/>
      <c r="O407" s="86"/>
    </row>
    <row r="408">
      <c r="C408" s="99"/>
      <c r="D408" s="100"/>
      <c r="H408" s="86"/>
      <c r="I408" s="86"/>
      <c r="J408" s="86"/>
      <c r="K408" s="86"/>
      <c r="L408" s="86"/>
      <c r="M408" s="86"/>
      <c r="N408" s="86"/>
      <c r="O408" s="86"/>
    </row>
    <row r="409">
      <c r="C409" s="99"/>
      <c r="D409" s="100"/>
      <c r="H409" s="86"/>
      <c r="I409" s="86"/>
      <c r="J409" s="86"/>
      <c r="K409" s="86"/>
      <c r="L409" s="86"/>
      <c r="M409" s="86"/>
      <c r="N409" s="86"/>
      <c r="O409" s="86"/>
    </row>
    <row r="410">
      <c r="C410" s="99"/>
      <c r="D410" s="100"/>
      <c r="H410" s="86"/>
      <c r="I410" s="86"/>
      <c r="J410" s="86"/>
      <c r="K410" s="86"/>
      <c r="L410" s="86"/>
      <c r="M410" s="86"/>
      <c r="N410" s="86"/>
      <c r="O410" s="86"/>
    </row>
    <row r="411">
      <c r="C411" s="99"/>
      <c r="D411" s="100"/>
      <c r="H411" s="86"/>
      <c r="I411" s="86"/>
      <c r="J411" s="86"/>
      <c r="K411" s="86"/>
      <c r="L411" s="86"/>
      <c r="M411" s="86"/>
      <c r="N411" s="86"/>
      <c r="O411" s="86"/>
    </row>
    <row r="412">
      <c r="C412" s="99"/>
      <c r="D412" s="100"/>
      <c r="H412" s="86"/>
      <c r="I412" s="86"/>
      <c r="J412" s="86"/>
      <c r="K412" s="86"/>
      <c r="L412" s="86"/>
      <c r="M412" s="86"/>
      <c r="N412" s="86"/>
      <c r="O412" s="86"/>
    </row>
    <row r="413">
      <c r="C413" s="99"/>
      <c r="D413" s="100"/>
      <c r="H413" s="86"/>
      <c r="I413" s="86"/>
      <c r="J413" s="86"/>
      <c r="K413" s="86"/>
      <c r="L413" s="86"/>
      <c r="M413" s="86"/>
      <c r="N413" s="86"/>
      <c r="O413" s="86"/>
    </row>
    <row r="414">
      <c r="C414" s="99"/>
      <c r="D414" s="100"/>
      <c r="H414" s="86"/>
      <c r="I414" s="86"/>
      <c r="J414" s="86"/>
      <c r="K414" s="86"/>
      <c r="L414" s="86"/>
      <c r="M414" s="86"/>
      <c r="N414" s="86"/>
      <c r="O414" s="86"/>
    </row>
    <row r="415">
      <c r="C415" s="99"/>
      <c r="D415" s="100"/>
      <c r="H415" s="86"/>
      <c r="I415" s="86"/>
      <c r="J415" s="86"/>
      <c r="K415" s="86"/>
      <c r="L415" s="86"/>
      <c r="M415" s="86"/>
      <c r="N415" s="86"/>
      <c r="O415" s="86"/>
    </row>
    <row r="416">
      <c r="C416" s="99"/>
      <c r="D416" s="100"/>
      <c r="H416" s="86"/>
      <c r="I416" s="86"/>
      <c r="J416" s="86"/>
      <c r="K416" s="86"/>
      <c r="L416" s="86"/>
      <c r="M416" s="86"/>
      <c r="N416" s="86"/>
      <c r="O416" s="86"/>
    </row>
    <row r="417">
      <c r="C417" s="99"/>
      <c r="D417" s="100"/>
      <c r="H417" s="86"/>
      <c r="I417" s="86"/>
      <c r="J417" s="86"/>
      <c r="K417" s="86"/>
      <c r="L417" s="86"/>
      <c r="M417" s="86"/>
      <c r="N417" s="86"/>
      <c r="O417" s="86"/>
    </row>
    <row r="418">
      <c r="C418" s="99"/>
      <c r="D418" s="100"/>
      <c r="H418" s="86"/>
      <c r="I418" s="86"/>
      <c r="J418" s="86"/>
      <c r="K418" s="86"/>
      <c r="L418" s="86"/>
      <c r="M418" s="86"/>
      <c r="N418" s="86"/>
      <c r="O418" s="86"/>
    </row>
    <row r="419">
      <c r="C419" s="99"/>
      <c r="D419" s="100"/>
      <c r="H419" s="86"/>
      <c r="I419" s="86"/>
      <c r="J419" s="86"/>
      <c r="K419" s="86"/>
      <c r="L419" s="86"/>
      <c r="M419" s="86"/>
      <c r="N419" s="86"/>
      <c r="O419" s="86"/>
    </row>
    <row r="420">
      <c r="C420" s="99"/>
      <c r="D420" s="100"/>
      <c r="H420" s="86"/>
      <c r="I420" s="86"/>
      <c r="J420" s="86"/>
      <c r="K420" s="86"/>
      <c r="L420" s="86"/>
      <c r="M420" s="86"/>
      <c r="N420" s="86"/>
      <c r="O420" s="86"/>
    </row>
    <row r="421">
      <c r="C421" s="99"/>
      <c r="D421" s="100"/>
      <c r="H421" s="86"/>
      <c r="I421" s="86"/>
      <c r="J421" s="86"/>
      <c r="K421" s="86"/>
      <c r="L421" s="86"/>
      <c r="M421" s="86"/>
      <c r="N421" s="86"/>
      <c r="O421" s="86"/>
    </row>
    <row r="422">
      <c r="C422" s="99"/>
      <c r="D422" s="100"/>
      <c r="H422" s="86"/>
      <c r="I422" s="86"/>
      <c r="J422" s="86"/>
      <c r="K422" s="86"/>
      <c r="L422" s="86"/>
      <c r="M422" s="86"/>
      <c r="N422" s="86"/>
      <c r="O422" s="86"/>
    </row>
    <row r="423">
      <c r="C423" s="99"/>
      <c r="D423" s="100"/>
      <c r="H423" s="86"/>
      <c r="I423" s="86"/>
      <c r="J423" s="86"/>
      <c r="K423" s="86"/>
      <c r="L423" s="86"/>
      <c r="M423" s="86"/>
      <c r="N423" s="86"/>
      <c r="O423" s="86"/>
    </row>
    <row r="424">
      <c r="C424" s="99"/>
      <c r="D424" s="100"/>
      <c r="H424" s="86"/>
      <c r="I424" s="86"/>
      <c r="J424" s="86"/>
      <c r="K424" s="86"/>
      <c r="L424" s="86"/>
      <c r="M424" s="86"/>
      <c r="N424" s="86"/>
      <c r="O424" s="86"/>
    </row>
    <row r="425">
      <c r="C425" s="99"/>
      <c r="D425" s="100"/>
      <c r="H425" s="86"/>
      <c r="I425" s="86"/>
      <c r="J425" s="86"/>
      <c r="K425" s="86"/>
      <c r="L425" s="86"/>
      <c r="M425" s="86"/>
      <c r="N425" s="86"/>
      <c r="O425" s="86"/>
    </row>
    <row r="426">
      <c r="C426" s="99"/>
      <c r="D426" s="100"/>
      <c r="H426" s="86"/>
      <c r="I426" s="86"/>
      <c r="J426" s="86"/>
      <c r="K426" s="86"/>
      <c r="L426" s="86"/>
      <c r="M426" s="86"/>
      <c r="N426" s="86"/>
      <c r="O426" s="86"/>
    </row>
    <row r="427">
      <c r="C427" s="99"/>
      <c r="D427" s="100"/>
      <c r="H427" s="86"/>
      <c r="I427" s="86"/>
      <c r="J427" s="86"/>
      <c r="K427" s="86"/>
      <c r="L427" s="86"/>
      <c r="M427" s="86"/>
      <c r="N427" s="86"/>
      <c r="O427" s="86"/>
    </row>
    <row r="428">
      <c r="C428" s="99"/>
      <c r="D428" s="100"/>
      <c r="H428" s="86"/>
      <c r="I428" s="86"/>
      <c r="J428" s="86"/>
      <c r="K428" s="86"/>
      <c r="L428" s="86"/>
      <c r="M428" s="86"/>
      <c r="N428" s="86"/>
      <c r="O428" s="86"/>
    </row>
    <row r="429">
      <c r="C429" s="99"/>
      <c r="D429" s="100"/>
      <c r="H429" s="86"/>
      <c r="I429" s="86"/>
      <c r="J429" s="86"/>
      <c r="K429" s="86"/>
      <c r="L429" s="86"/>
      <c r="M429" s="86"/>
      <c r="N429" s="86"/>
      <c r="O429" s="86"/>
    </row>
    <row r="430">
      <c r="C430" s="99"/>
      <c r="D430" s="100"/>
      <c r="H430" s="86"/>
      <c r="I430" s="86"/>
      <c r="J430" s="86"/>
      <c r="K430" s="86"/>
      <c r="L430" s="86"/>
      <c r="M430" s="86"/>
      <c r="N430" s="86"/>
      <c r="O430" s="86"/>
    </row>
    <row r="431">
      <c r="C431" s="99"/>
      <c r="D431" s="100"/>
      <c r="H431" s="86"/>
      <c r="I431" s="86"/>
      <c r="J431" s="86"/>
      <c r="K431" s="86"/>
      <c r="L431" s="86"/>
      <c r="M431" s="86"/>
      <c r="N431" s="86"/>
      <c r="O431" s="86"/>
    </row>
    <row r="432">
      <c r="C432" s="99"/>
      <c r="D432" s="100"/>
      <c r="H432" s="86"/>
      <c r="I432" s="86"/>
      <c r="J432" s="86"/>
      <c r="K432" s="86"/>
      <c r="L432" s="86"/>
      <c r="M432" s="86"/>
      <c r="N432" s="86"/>
      <c r="O432" s="86"/>
    </row>
    <row r="433">
      <c r="C433" s="99"/>
      <c r="D433" s="100"/>
      <c r="H433" s="86"/>
      <c r="I433" s="86"/>
      <c r="J433" s="86"/>
      <c r="K433" s="86"/>
      <c r="L433" s="86"/>
      <c r="M433" s="86"/>
      <c r="N433" s="86"/>
      <c r="O433" s="86"/>
    </row>
    <row r="434">
      <c r="C434" s="99"/>
      <c r="D434" s="100"/>
      <c r="H434" s="86"/>
      <c r="I434" s="86"/>
      <c r="J434" s="86"/>
      <c r="K434" s="86"/>
      <c r="L434" s="86"/>
      <c r="M434" s="86"/>
      <c r="N434" s="86"/>
      <c r="O434" s="86"/>
    </row>
    <row r="435">
      <c r="C435" s="99"/>
      <c r="D435" s="100"/>
      <c r="H435" s="86"/>
      <c r="I435" s="86"/>
      <c r="J435" s="86"/>
      <c r="K435" s="86"/>
      <c r="L435" s="86"/>
      <c r="M435" s="86"/>
      <c r="N435" s="86"/>
      <c r="O435" s="86"/>
    </row>
    <row r="436">
      <c r="C436" s="99"/>
      <c r="D436" s="100"/>
      <c r="H436" s="86"/>
      <c r="I436" s="86"/>
      <c r="J436" s="86"/>
      <c r="K436" s="86"/>
      <c r="L436" s="86"/>
      <c r="M436" s="86"/>
      <c r="N436" s="86"/>
      <c r="O436" s="86"/>
    </row>
    <row r="437">
      <c r="C437" s="99"/>
      <c r="D437" s="100"/>
      <c r="H437" s="86"/>
      <c r="I437" s="86"/>
      <c r="J437" s="86"/>
      <c r="K437" s="86"/>
      <c r="L437" s="86"/>
      <c r="M437" s="86"/>
      <c r="N437" s="86"/>
      <c r="O437" s="86"/>
    </row>
    <row r="438">
      <c r="C438" s="99"/>
      <c r="D438" s="100"/>
      <c r="H438" s="86"/>
      <c r="I438" s="86"/>
      <c r="J438" s="86"/>
      <c r="K438" s="86"/>
      <c r="L438" s="86"/>
      <c r="M438" s="86"/>
      <c r="N438" s="86"/>
      <c r="O438" s="86"/>
    </row>
    <row r="439">
      <c r="C439" s="99"/>
      <c r="D439" s="100"/>
      <c r="H439" s="86"/>
      <c r="I439" s="86"/>
      <c r="J439" s="86"/>
      <c r="K439" s="86"/>
      <c r="L439" s="86"/>
      <c r="M439" s="86"/>
      <c r="N439" s="86"/>
      <c r="O439" s="86"/>
    </row>
    <row r="440">
      <c r="C440" s="99"/>
      <c r="D440" s="100"/>
      <c r="H440" s="86"/>
      <c r="I440" s="86"/>
      <c r="J440" s="86"/>
      <c r="K440" s="86"/>
      <c r="L440" s="86"/>
      <c r="M440" s="86"/>
      <c r="N440" s="86"/>
      <c r="O440" s="86"/>
    </row>
    <row r="441">
      <c r="C441" s="99"/>
      <c r="D441" s="100"/>
      <c r="H441" s="86"/>
      <c r="I441" s="86"/>
      <c r="J441" s="86"/>
      <c r="K441" s="86"/>
      <c r="L441" s="86"/>
      <c r="M441" s="86"/>
      <c r="N441" s="86"/>
      <c r="O441" s="86"/>
    </row>
    <row r="442">
      <c r="C442" s="99"/>
      <c r="D442" s="100"/>
      <c r="H442" s="86"/>
      <c r="I442" s="86"/>
      <c r="J442" s="86"/>
      <c r="K442" s="86"/>
      <c r="L442" s="86"/>
      <c r="M442" s="86"/>
      <c r="N442" s="86"/>
      <c r="O442" s="86"/>
    </row>
    <row r="443">
      <c r="C443" s="99"/>
      <c r="D443" s="100"/>
      <c r="H443" s="86"/>
      <c r="I443" s="86"/>
      <c r="J443" s="86"/>
      <c r="K443" s="86"/>
      <c r="L443" s="86"/>
      <c r="M443" s="86"/>
      <c r="N443" s="86"/>
      <c r="O443" s="86"/>
    </row>
    <row r="444">
      <c r="C444" s="99"/>
      <c r="D444" s="100"/>
      <c r="H444" s="86"/>
      <c r="I444" s="86"/>
      <c r="J444" s="86"/>
      <c r="K444" s="86"/>
      <c r="L444" s="86"/>
      <c r="M444" s="86"/>
      <c r="N444" s="86"/>
      <c r="O444" s="86"/>
    </row>
    <row r="445">
      <c r="C445" s="99"/>
      <c r="D445" s="100"/>
      <c r="H445" s="86"/>
      <c r="I445" s="86"/>
      <c r="J445" s="86"/>
      <c r="K445" s="86"/>
      <c r="L445" s="86"/>
      <c r="M445" s="86"/>
      <c r="N445" s="86"/>
      <c r="O445" s="86"/>
    </row>
    <row r="446">
      <c r="C446" s="99"/>
      <c r="D446" s="100"/>
      <c r="H446" s="86"/>
      <c r="I446" s="86"/>
      <c r="J446" s="86"/>
      <c r="K446" s="86"/>
      <c r="L446" s="86"/>
      <c r="M446" s="86"/>
      <c r="N446" s="86"/>
      <c r="O446" s="86"/>
    </row>
    <row r="447">
      <c r="C447" s="99"/>
      <c r="D447" s="100"/>
      <c r="H447" s="86"/>
      <c r="I447" s="86"/>
      <c r="J447" s="86"/>
      <c r="K447" s="86"/>
      <c r="L447" s="86"/>
      <c r="M447" s="86"/>
      <c r="N447" s="86"/>
      <c r="O447" s="86"/>
    </row>
    <row r="448">
      <c r="C448" s="99"/>
      <c r="D448" s="100"/>
      <c r="H448" s="86"/>
      <c r="I448" s="86"/>
      <c r="J448" s="86"/>
      <c r="K448" s="86"/>
      <c r="L448" s="86"/>
      <c r="M448" s="86"/>
      <c r="N448" s="86"/>
      <c r="O448" s="86"/>
    </row>
    <row r="449">
      <c r="C449" s="99"/>
      <c r="D449" s="100"/>
      <c r="H449" s="86"/>
      <c r="I449" s="86"/>
      <c r="J449" s="86"/>
      <c r="K449" s="86"/>
      <c r="L449" s="86"/>
      <c r="M449" s="86"/>
      <c r="N449" s="86"/>
      <c r="O449" s="86"/>
    </row>
    <row r="450">
      <c r="C450" s="99"/>
      <c r="D450" s="100"/>
      <c r="H450" s="86"/>
      <c r="I450" s="86"/>
      <c r="J450" s="86"/>
      <c r="K450" s="86"/>
      <c r="L450" s="86"/>
      <c r="M450" s="86"/>
      <c r="N450" s="86"/>
      <c r="O450" s="86"/>
    </row>
    <row r="451">
      <c r="C451" s="99"/>
      <c r="D451" s="100"/>
      <c r="H451" s="86"/>
      <c r="I451" s="86"/>
      <c r="J451" s="86"/>
      <c r="K451" s="86"/>
      <c r="L451" s="86"/>
      <c r="M451" s="86"/>
      <c r="N451" s="86"/>
      <c r="O451" s="86"/>
    </row>
    <row r="452">
      <c r="C452" s="99"/>
      <c r="D452" s="100"/>
      <c r="H452" s="86"/>
      <c r="I452" s="86"/>
      <c r="J452" s="86"/>
      <c r="K452" s="86"/>
      <c r="L452" s="86"/>
      <c r="M452" s="86"/>
      <c r="N452" s="86"/>
      <c r="O452" s="86"/>
    </row>
    <row r="453">
      <c r="C453" s="99"/>
      <c r="D453" s="100"/>
      <c r="H453" s="86"/>
      <c r="I453" s="86"/>
      <c r="J453" s="86"/>
      <c r="K453" s="86"/>
      <c r="L453" s="86"/>
      <c r="M453" s="86"/>
      <c r="N453" s="86"/>
      <c r="O453" s="86"/>
    </row>
    <row r="454">
      <c r="C454" s="99"/>
      <c r="D454" s="100"/>
      <c r="H454" s="86"/>
      <c r="I454" s="86"/>
      <c r="J454" s="86"/>
      <c r="K454" s="86"/>
      <c r="L454" s="86"/>
      <c r="M454" s="86"/>
      <c r="N454" s="86"/>
      <c r="O454" s="86"/>
    </row>
    <row r="455">
      <c r="C455" s="99"/>
      <c r="D455" s="100"/>
      <c r="H455" s="86"/>
      <c r="I455" s="86"/>
      <c r="J455" s="86"/>
      <c r="K455" s="86"/>
      <c r="L455" s="86"/>
      <c r="M455" s="86"/>
      <c r="N455" s="86"/>
      <c r="O455" s="86"/>
    </row>
    <row r="456">
      <c r="C456" s="99"/>
      <c r="D456" s="100"/>
      <c r="H456" s="86"/>
      <c r="I456" s="86"/>
      <c r="J456" s="86"/>
      <c r="K456" s="86"/>
      <c r="L456" s="86"/>
      <c r="M456" s="86"/>
      <c r="N456" s="86"/>
      <c r="O456" s="86"/>
    </row>
    <row r="457">
      <c r="C457" s="99"/>
      <c r="D457" s="100"/>
      <c r="H457" s="86"/>
      <c r="I457" s="86"/>
      <c r="J457" s="86"/>
      <c r="K457" s="86"/>
      <c r="L457" s="86"/>
      <c r="M457" s="86"/>
      <c r="N457" s="86"/>
      <c r="O457" s="86"/>
    </row>
    <row r="458">
      <c r="C458" s="99"/>
      <c r="D458" s="100"/>
      <c r="H458" s="86"/>
      <c r="I458" s="86"/>
      <c r="J458" s="86"/>
      <c r="K458" s="86"/>
      <c r="L458" s="86"/>
      <c r="M458" s="86"/>
      <c r="N458" s="86"/>
      <c r="O458" s="86"/>
    </row>
    <row r="459">
      <c r="C459" s="99"/>
      <c r="D459" s="100"/>
      <c r="H459" s="86"/>
      <c r="I459" s="86"/>
      <c r="J459" s="86"/>
      <c r="K459" s="86"/>
      <c r="L459" s="86"/>
      <c r="M459" s="86"/>
      <c r="N459" s="86"/>
      <c r="O459" s="86"/>
    </row>
    <row r="460">
      <c r="C460" s="99"/>
      <c r="D460" s="100"/>
      <c r="H460" s="86"/>
      <c r="I460" s="86"/>
      <c r="J460" s="86"/>
      <c r="K460" s="86"/>
      <c r="L460" s="86"/>
      <c r="M460" s="86"/>
      <c r="N460" s="86"/>
      <c r="O460" s="86"/>
    </row>
    <row r="461">
      <c r="C461" s="99"/>
      <c r="D461" s="100"/>
      <c r="H461" s="86"/>
      <c r="I461" s="86"/>
      <c r="J461" s="86"/>
      <c r="K461" s="86"/>
      <c r="L461" s="86"/>
      <c r="M461" s="86"/>
      <c r="N461" s="86"/>
      <c r="O461" s="86"/>
    </row>
    <row r="462">
      <c r="C462" s="99"/>
      <c r="D462" s="100"/>
      <c r="H462" s="86"/>
      <c r="I462" s="86"/>
      <c r="J462" s="86"/>
      <c r="K462" s="86"/>
      <c r="L462" s="86"/>
      <c r="M462" s="86"/>
      <c r="N462" s="86"/>
      <c r="O462" s="86"/>
    </row>
    <row r="463">
      <c r="C463" s="99"/>
      <c r="D463" s="100"/>
      <c r="H463" s="86"/>
      <c r="I463" s="86"/>
      <c r="J463" s="86"/>
      <c r="K463" s="86"/>
      <c r="L463" s="86"/>
      <c r="M463" s="86"/>
      <c r="N463" s="86"/>
      <c r="O463" s="86"/>
    </row>
    <row r="464">
      <c r="C464" s="99"/>
      <c r="D464" s="100"/>
      <c r="H464" s="86"/>
      <c r="I464" s="86"/>
      <c r="J464" s="86"/>
      <c r="K464" s="86"/>
      <c r="L464" s="86"/>
      <c r="M464" s="86"/>
      <c r="N464" s="86"/>
      <c r="O464" s="86"/>
    </row>
    <row r="465">
      <c r="C465" s="99"/>
      <c r="D465" s="100"/>
      <c r="H465" s="86"/>
      <c r="I465" s="86"/>
      <c r="J465" s="86"/>
      <c r="K465" s="86"/>
      <c r="L465" s="86"/>
      <c r="M465" s="86"/>
      <c r="N465" s="86"/>
      <c r="O465" s="86"/>
    </row>
    <row r="466">
      <c r="C466" s="99"/>
      <c r="D466" s="100"/>
      <c r="H466" s="86"/>
      <c r="I466" s="86"/>
      <c r="J466" s="86"/>
      <c r="K466" s="86"/>
      <c r="L466" s="86"/>
      <c r="M466" s="86"/>
      <c r="N466" s="86"/>
      <c r="O466" s="86"/>
    </row>
    <row r="467">
      <c r="C467" s="99"/>
      <c r="D467" s="100"/>
      <c r="H467" s="86"/>
      <c r="I467" s="86"/>
      <c r="J467" s="86"/>
      <c r="K467" s="86"/>
      <c r="L467" s="86"/>
      <c r="M467" s="86"/>
      <c r="N467" s="86"/>
      <c r="O467" s="86"/>
    </row>
    <row r="468">
      <c r="C468" s="99"/>
      <c r="D468" s="100"/>
      <c r="H468" s="86"/>
      <c r="I468" s="86"/>
      <c r="J468" s="86"/>
      <c r="K468" s="86"/>
      <c r="L468" s="86"/>
      <c r="M468" s="86"/>
      <c r="N468" s="86"/>
      <c r="O468" s="86"/>
    </row>
    <row r="469">
      <c r="C469" s="99"/>
      <c r="D469" s="100"/>
      <c r="H469" s="86"/>
      <c r="I469" s="86"/>
      <c r="J469" s="86"/>
      <c r="K469" s="86"/>
      <c r="L469" s="86"/>
      <c r="M469" s="86"/>
      <c r="N469" s="86"/>
      <c r="O469" s="86"/>
    </row>
    <row r="470">
      <c r="C470" s="99"/>
      <c r="D470" s="100"/>
      <c r="H470" s="86"/>
      <c r="I470" s="86"/>
      <c r="J470" s="86"/>
      <c r="K470" s="86"/>
      <c r="L470" s="86"/>
      <c r="M470" s="86"/>
      <c r="N470" s="86"/>
      <c r="O470" s="86"/>
    </row>
    <row r="471">
      <c r="C471" s="99"/>
      <c r="D471" s="100"/>
      <c r="H471" s="86"/>
      <c r="I471" s="86"/>
      <c r="J471" s="86"/>
      <c r="K471" s="86"/>
      <c r="L471" s="86"/>
      <c r="M471" s="86"/>
      <c r="N471" s="86"/>
      <c r="O471" s="86"/>
    </row>
    <row r="472">
      <c r="C472" s="99"/>
      <c r="D472" s="100"/>
      <c r="H472" s="86"/>
      <c r="I472" s="86"/>
      <c r="J472" s="86"/>
      <c r="K472" s="86"/>
      <c r="L472" s="86"/>
      <c r="M472" s="86"/>
      <c r="N472" s="86"/>
      <c r="O472" s="86"/>
    </row>
    <row r="473">
      <c r="C473" s="99"/>
      <c r="D473" s="100"/>
      <c r="H473" s="86"/>
      <c r="I473" s="86"/>
      <c r="J473" s="86"/>
      <c r="K473" s="86"/>
      <c r="L473" s="86"/>
      <c r="M473" s="86"/>
      <c r="N473" s="86"/>
      <c r="O473" s="86"/>
    </row>
    <row r="474">
      <c r="C474" s="99"/>
      <c r="D474" s="100"/>
      <c r="H474" s="86"/>
      <c r="I474" s="86"/>
      <c r="J474" s="86"/>
      <c r="K474" s="86"/>
      <c r="L474" s="86"/>
      <c r="M474" s="86"/>
      <c r="N474" s="86"/>
      <c r="O474" s="86"/>
    </row>
    <row r="475">
      <c r="C475" s="99"/>
      <c r="D475" s="100"/>
      <c r="H475" s="86"/>
      <c r="I475" s="86"/>
      <c r="J475" s="86"/>
      <c r="K475" s="86"/>
      <c r="L475" s="86"/>
      <c r="M475" s="86"/>
      <c r="N475" s="86"/>
      <c r="O475" s="86"/>
    </row>
    <row r="476">
      <c r="C476" s="99"/>
      <c r="D476" s="100"/>
      <c r="H476" s="86"/>
      <c r="I476" s="86"/>
      <c r="J476" s="86"/>
      <c r="K476" s="86"/>
      <c r="L476" s="86"/>
      <c r="M476" s="86"/>
      <c r="N476" s="86"/>
      <c r="O476" s="86"/>
    </row>
    <row r="477">
      <c r="C477" s="99"/>
      <c r="D477" s="100"/>
      <c r="H477" s="86"/>
      <c r="I477" s="86"/>
      <c r="J477" s="86"/>
      <c r="K477" s="86"/>
      <c r="L477" s="86"/>
      <c r="M477" s="86"/>
      <c r="N477" s="86"/>
      <c r="O477" s="86"/>
    </row>
    <row r="478">
      <c r="C478" s="99"/>
      <c r="D478" s="100"/>
      <c r="H478" s="86"/>
      <c r="I478" s="86"/>
      <c r="J478" s="86"/>
      <c r="K478" s="86"/>
      <c r="L478" s="86"/>
      <c r="M478" s="86"/>
      <c r="N478" s="86"/>
      <c r="O478" s="86"/>
    </row>
    <row r="479">
      <c r="C479" s="99"/>
      <c r="D479" s="100"/>
      <c r="H479" s="86"/>
      <c r="I479" s="86"/>
      <c r="J479" s="86"/>
      <c r="K479" s="86"/>
      <c r="L479" s="86"/>
      <c r="M479" s="86"/>
      <c r="N479" s="86"/>
      <c r="O479" s="86"/>
    </row>
    <row r="480">
      <c r="C480" s="99"/>
      <c r="D480" s="100"/>
      <c r="H480" s="86"/>
      <c r="I480" s="86"/>
      <c r="J480" s="86"/>
      <c r="K480" s="86"/>
      <c r="L480" s="86"/>
      <c r="M480" s="86"/>
      <c r="N480" s="86"/>
      <c r="O480" s="86"/>
    </row>
    <row r="481">
      <c r="C481" s="99"/>
      <c r="D481" s="100"/>
      <c r="H481" s="86"/>
      <c r="I481" s="86"/>
      <c r="J481" s="86"/>
      <c r="K481" s="86"/>
      <c r="L481" s="86"/>
      <c r="M481" s="86"/>
      <c r="N481" s="86"/>
      <c r="O481" s="86"/>
    </row>
    <row r="482">
      <c r="C482" s="99"/>
      <c r="D482" s="100"/>
      <c r="H482" s="86"/>
      <c r="I482" s="86"/>
      <c r="J482" s="86"/>
      <c r="K482" s="86"/>
      <c r="L482" s="86"/>
      <c r="M482" s="86"/>
      <c r="N482" s="86"/>
      <c r="O482" s="86"/>
    </row>
    <row r="483">
      <c r="C483" s="99"/>
      <c r="D483" s="100"/>
      <c r="H483" s="86"/>
      <c r="I483" s="86"/>
      <c r="J483" s="86"/>
      <c r="K483" s="86"/>
      <c r="L483" s="86"/>
      <c r="M483" s="86"/>
      <c r="N483" s="86"/>
      <c r="O483" s="86"/>
    </row>
    <row r="484">
      <c r="C484" s="99"/>
      <c r="D484" s="100"/>
      <c r="H484" s="86"/>
      <c r="I484" s="86"/>
      <c r="J484" s="86"/>
      <c r="K484" s="86"/>
      <c r="L484" s="86"/>
      <c r="M484" s="86"/>
      <c r="N484" s="86"/>
      <c r="O484" s="86"/>
    </row>
    <row r="485">
      <c r="C485" s="99"/>
      <c r="D485" s="100"/>
      <c r="H485" s="86"/>
      <c r="I485" s="86"/>
      <c r="J485" s="86"/>
      <c r="K485" s="86"/>
      <c r="L485" s="86"/>
      <c r="M485" s="86"/>
      <c r="N485" s="86"/>
      <c r="O485" s="86"/>
    </row>
    <row r="486">
      <c r="C486" s="99"/>
      <c r="D486" s="100"/>
      <c r="H486" s="86"/>
      <c r="I486" s="86"/>
      <c r="J486" s="86"/>
      <c r="K486" s="86"/>
      <c r="L486" s="86"/>
      <c r="M486" s="86"/>
      <c r="N486" s="86"/>
      <c r="O486" s="86"/>
    </row>
    <row r="487">
      <c r="C487" s="99"/>
      <c r="D487" s="100"/>
      <c r="H487" s="86"/>
      <c r="I487" s="86"/>
      <c r="J487" s="86"/>
      <c r="K487" s="86"/>
      <c r="L487" s="86"/>
      <c r="M487" s="86"/>
      <c r="N487" s="86"/>
      <c r="O487" s="86"/>
    </row>
    <row r="488">
      <c r="C488" s="99"/>
      <c r="D488" s="100"/>
      <c r="H488" s="86"/>
      <c r="I488" s="86"/>
      <c r="J488" s="86"/>
      <c r="K488" s="86"/>
      <c r="L488" s="86"/>
      <c r="M488" s="86"/>
      <c r="N488" s="86"/>
      <c r="O488" s="86"/>
    </row>
    <row r="489">
      <c r="C489" s="99"/>
      <c r="D489" s="100"/>
      <c r="H489" s="86"/>
      <c r="I489" s="86"/>
      <c r="J489" s="86"/>
      <c r="K489" s="86"/>
      <c r="L489" s="86"/>
      <c r="M489" s="86"/>
      <c r="N489" s="86"/>
      <c r="O489" s="86"/>
    </row>
    <row r="490">
      <c r="C490" s="99"/>
      <c r="D490" s="100"/>
      <c r="H490" s="86"/>
      <c r="I490" s="86"/>
      <c r="J490" s="86"/>
      <c r="K490" s="86"/>
      <c r="L490" s="86"/>
      <c r="M490" s="86"/>
      <c r="N490" s="86"/>
      <c r="O490" s="86"/>
    </row>
    <row r="491">
      <c r="C491" s="99"/>
      <c r="D491" s="100"/>
      <c r="H491" s="86"/>
      <c r="I491" s="86"/>
      <c r="J491" s="86"/>
      <c r="K491" s="86"/>
      <c r="L491" s="86"/>
      <c r="M491" s="86"/>
      <c r="N491" s="86"/>
      <c r="O491" s="86"/>
    </row>
    <row r="492">
      <c r="C492" s="99"/>
      <c r="D492" s="100"/>
      <c r="H492" s="86"/>
      <c r="I492" s="86"/>
      <c r="J492" s="86"/>
      <c r="K492" s="86"/>
      <c r="L492" s="86"/>
      <c r="M492" s="86"/>
      <c r="N492" s="86"/>
      <c r="O492" s="86"/>
    </row>
    <row r="493">
      <c r="C493" s="99"/>
      <c r="D493" s="100"/>
      <c r="H493" s="86"/>
      <c r="I493" s="86"/>
      <c r="J493" s="86"/>
      <c r="K493" s="86"/>
      <c r="L493" s="86"/>
      <c r="M493" s="86"/>
      <c r="N493" s="86"/>
      <c r="O493" s="86"/>
    </row>
    <row r="494">
      <c r="C494" s="99"/>
      <c r="D494" s="100"/>
      <c r="H494" s="86"/>
      <c r="I494" s="86"/>
      <c r="J494" s="86"/>
      <c r="K494" s="86"/>
      <c r="L494" s="86"/>
      <c r="M494" s="86"/>
      <c r="N494" s="86"/>
      <c r="O494" s="86"/>
    </row>
    <row r="495">
      <c r="C495" s="99"/>
      <c r="D495" s="100"/>
      <c r="H495" s="86"/>
      <c r="I495" s="86"/>
      <c r="J495" s="86"/>
      <c r="K495" s="86"/>
      <c r="L495" s="86"/>
      <c r="M495" s="86"/>
      <c r="N495" s="86"/>
      <c r="O495" s="86"/>
    </row>
    <row r="496">
      <c r="C496" s="99"/>
      <c r="D496" s="100"/>
      <c r="H496" s="86"/>
      <c r="I496" s="86"/>
      <c r="J496" s="86"/>
      <c r="K496" s="86"/>
      <c r="L496" s="86"/>
      <c r="M496" s="86"/>
      <c r="N496" s="86"/>
      <c r="O496" s="86"/>
    </row>
    <row r="497">
      <c r="C497" s="99"/>
      <c r="D497" s="100"/>
      <c r="H497" s="86"/>
      <c r="I497" s="86"/>
      <c r="J497" s="86"/>
      <c r="K497" s="86"/>
      <c r="L497" s="86"/>
      <c r="M497" s="86"/>
      <c r="N497" s="86"/>
      <c r="O497" s="86"/>
    </row>
    <row r="498">
      <c r="C498" s="99"/>
      <c r="D498" s="100"/>
      <c r="H498" s="86"/>
      <c r="I498" s="86"/>
      <c r="J498" s="86"/>
      <c r="K498" s="86"/>
      <c r="L498" s="86"/>
      <c r="M498" s="86"/>
      <c r="N498" s="86"/>
      <c r="O498" s="86"/>
    </row>
    <row r="499">
      <c r="C499" s="99"/>
      <c r="D499" s="100"/>
      <c r="H499" s="86"/>
      <c r="I499" s="86"/>
      <c r="J499" s="86"/>
      <c r="K499" s="86"/>
      <c r="L499" s="86"/>
      <c r="M499" s="86"/>
      <c r="N499" s="86"/>
      <c r="O499" s="86"/>
    </row>
    <row r="500">
      <c r="C500" s="99"/>
      <c r="D500" s="100"/>
      <c r="H500" s="86"/>
      <c r="I500" s="86"/>
      <c r="J500" s="86"/>
      <c r="K500" s="86"/>
      <c r="L500" s="86"/>
      <c r="M500" s="86"/>
      <c r="N500" s="86"/>
      <c r="O500" s="86"/>
    </row>
    <row r="501">
      <c r="C501" s="99"/>
      <c r="D501" s="100"/>
      <c r="H501" s="86"/>
      <c r="I501" s="86"/>
      <c r="J501" s="86"/>
      <c r="K501" s="86"/>
      <c r="L501" s="86"/>
      <c r="M501" s="86"/>
      <c r="N501" s="86"/>
      <c r="O501" s="86"/>
    </row>
    <row r="502">
      <c r="C502" s="99"/>
      <c r="D502" s="100"/>
      <c r="H502" s="86"/>
      <c r="I502" s="86"/>
      <c r="J502" s="86"/>
      <c r="K502" s="86"/>
      <c r="L502" s="86"/>
      <c r="M502" s="86"/>
      <c r="N502" s="86"/>
      <c r="O502" s="86"/>
    </row>
    <row r="503">
      <c r="C503" s="99"/>
      <c r="D503" s="100"/>
      <c r="H503" s="86"/>
      <c r="I503" s="86"/>
      <c r="J503" s="86"/>
      <c r="K503" s="86"/>
      <c r="L503" s="86"/>
      <c r="M503" s="86"/>
      <c r="N503" s="86"/>
      <c r="O503" s="86"/>
    </row>
    <row r="504">
      <c r="C504" s="99"/>
      <c r="D504" s="100"/>
      <c r="H504" s="86"/>
      <c r="I504" s="86"/>
      <c r="J504" s="86"/>
      <c r="K504" s="86"/>
      <c r="L504" s="86"/>
      <c r="M504" s="86"/>
      <c r="N504" s="86"/>
      <c r="O504" s="86"/>
    </row>
    <row r="505">
      <c r="C505" s="99"/>
      <c r="D505" s="100"/>
      <c r="H505" s="86"/>
      <c r="I505" s="86"/>
      <c r="J505" s="86"/>
      <c r="K505" s="86"/>
      <c r="L505" s="86"/>
      <c r="M505" s="86"/>
      <c r="N505" s="86"/>
      <c r="O505" s="86"/>
    </row>
    <row r="506">
      <c r="C506" s="99"/>
      <c r="D506" s="100"/>
      <c r="H506" s="86"/>
      <c r="I506" s="86"/>
      <c r="J506" s="86"/>
      <c r="K506" s="86"/>
      <c r="L506" s="86"/>
      <c r="M506" s="86"/>
      <c r="N506" s="86"/>
      <c r="O506" s="86"/>
    </row>
    <row r="507">
      <c r="C507" s="99"/>
      <c r="D507" s="100"/>
      <c r="H507" s="86"/>
      <c r="I507" s="86"/>
      <c r="J507" s="86"/>
      <c r="K507" s="86"/>
      <c r="L507" s="86"/>
      <c r="M507" s="86"/>
      <c r="N507" s="86"/>
      <c r="O507" s="86"/>
    </row>
    <row r="508">
      <c r="C508" s="99"/>
      <c r="D508" s="100"/>
      <c r="H508" s="86"/>
      <c r="I508" s="86"/>
      <c r="J508" s="86"/>
      <c r="K508" s="86"/>
      <c r="L508" s="86"/>
      <c r="M508" s="86"/>
      <c r="N508" s="86"/>
      <c r="O508" s="86"/>
    </row>
    <row r="509">
      <c r="C509" s="99"/>
      <c r="D509" s="100"/>
      <c r="H509" s="86"/>
      <c r="I509" s="86"/>
      <c r="J509" s="86"/>
      <c r="K509" s="86"/>
      <c r="L509" s="86"/>
      <c r="M509" s="86"/>
      <c r="N509" s="86"/>
      <c r="O509" s="86"/>
    </row>
    <row r="510">
      <c r="C510" s="99"/>
      <c r="D510" s="100"/>
      <c r="H510" s="86"/>
      <c r="I510" s="86"/>
      <c r="J510" s="86"/>
      <c r="K510" s="86"/>
      <c r="L510" s="86"/>
      <c r="M510" s="86"/>
      <c r="N510" s="86"/>
      <c r="O510" s="86"/>
    </row>
    <row r="511">
      <c r="C511" s="99"/>
      <c r="D511" s="100"/>
      <c r="H511" s="86"/>
      <c r="I511" s="86"/>
      <c r="J511" s="86"/>
      <c r="K511" s="86"/>
      <c r="L511" s="86"/>
      <c r="M511" s="86"/>
      <c r="N511" s="86"/>
      <c r="O511" s="86"/>
    </row>
    <row r="512">
      <c r="C512" s="99"/>
      <c r="D512" s="100"/>
      <c r="H512" s="86"/>
      <c r="I512" s="86"/>
      <c r="J512" s="86"/>
      <c r="K512" s="86"/>
      <c r="L512" s="86"/>
      <c r="M512" s="86"/>
      <c r="N512" s="86"/>
      <c r="O512" s="86"/>
    </row>
    <row r="513">
      <c r="C513" s="99"/>
      <c r="D513" s="100"/>
      <c r="H513" s="86"/>
      <c r="I513" s="86"/>
      <c r="J513" s="86"/>
      <c r="K513" s="86"/>
      <c r="L513" s="86"/>
      <c r="M513" s="86"/>
      <c r="N513" s="86"/>
      <c r="O513" s="86"/>
    </row>
    <row r="514">
      <c r="C514" s="99"/>
      <c r="D514" s="100"/>
      <c r="H514" s="86"/>
      <c r="I514" s="86"/>
      <c r="J514" s="86"/>
      <c r="K514" s="86"/>
      <c r="L514" s="86"/>
      <c r="M514" s="86"/>
      <c r="N514" s="86"/>
      <c r="O514" s="86"/>
    </row>
    <row r="515">
      <c r="C515" s="99"/>
      <c r="D515" s="100"/>
      <c r="H515" s="86"/>
      <c r="I515" s="86"/>
      <c r="J515" s="86"/>
      <c r="K515" s="86"/>
      <c r="L515" s="86"/>
      <c r="M515" s="86"/>
      <c r="N515" s="86"/>
      <c r="O515" s="86"/>
    </row>
    <row r="516">
      <c r="C516" s="99"/>
      <c r="D516" s="100"/>
      <c r="H516" s="86"/>
      <c r="I516" s="86"/>
      <c r="J516" s="86"/>
      <c r="K516" s="86"/>
      <c r="L516" s="86"/>
      <c r="M516" s="86"/>
      <c r="N516" s="86"/>
      <c r="O516" s="86"/>
    </row>
    <row r="517">
      <c r="C517" s="99"/>
      <c r="D517" s="100"/>
      <c r="H517" s="86"/>
      <c r="I517" s="86"/>
      <c r="J517" s="86"/>
      <c r="K517" s="86"/>
      <c r="L517" s="86"/>
      <c r="M517" s="86"/>
      <c r="N517" s="86"/>
      <c r="O517" s="86"/>
    </row>
    <row r="518">
      <c r="C518" s="99"/>
      <c r="D518" s="100"/>
      <c r="H518" s="86"/>
      <c r="I518" s="86"/>
      <c r="J518" s="86"/>
      <c r="K518" s="86"/>
      <c r="L518" s="86"/>
      <c r="M518" s="86"/>
      <c r="N518" s="86"/>
      <c r="O518" s="86"/>
    </row>
    <row r="519">
      <c r="C519" s="99"/>
      <c r="D519" s="100"/>
      <c r="H519" s="86"/>
      <c r="I519" s="86"/>
      <c r="J519" s="86"/>
      <c r="K519" s="86"/>
      <c r="L519" s="86"/>
      <c r="M519" s="86"/>
      <c r="N519" s="86"/>
      <c r="O519" s="86"/>
    </row>
    <row r="520">
      <c r="C520" s="99"/>
      <c r="D520" s="100"/>
      <c r="H520" s="86"/>
      <c r="I520" s="86"/>
      <c r="J520" s="86"/>
      <c r="K520" s="86"/>
      <c r="L520" s="86"/>
      <c r="M520" s="86"/>
      <c r="N520" s="86"/>
      <c r="O520" s="86"/>
    </row>
    <row r="521">
      <c r="C521" s="99"/>
      <c r="D521" s="100"/>
      <c r="H521" s="86"/>
      <c r="I521" s="86"/>
      <c r="J521" s="86"/>
      <c r="K521" s="86"/>
      <c r="L521" s="86"/>
      <c r="M521" s="86"/>
      <c r="N521" s="86"/>
      <c r="O521" s="86"/>
    </row>
    <row r="522">
      <c r="C522" s="99"/>
      <c r="D522" s="100"/>
      <c r="H522" s="86"/>
      <c r="I522" s="86"/>
      <c r="J522" s="86"/>
      <c r="K522" s="86"/>
      <c r="L522" s="86"/>
      <c r="M522" s="86"/>
      <c r="N522" s="86"/>
      <c r="O522" s="86"/>
    </row>
    <row r="523">
      <c r="C523" s="99"/>
      <c r="D523" s="100"/>
      <c r="H523" s="86"/>
      <c r="I523" s="86"/>
      <c r="J523" s="86"/>
      <c r="K523" s="86"/>
      <c r="L523" s="86"/>
      <c r="M523" s="86"/>
      <c r="N523" s="86"/>
      <c r="O523" s="86"/>
    </row>
    <row r="524">
      <c r="C524" s="99"/>
      <c r="D524" s="100"/>
      <c r="H524" s="86"/>
      <c r="I524" s="86"/>
      <c r="J524" s="86"/>
      <c r="K524" s="86"/>
      <c r="L524" s="86"/>
      <c r="M524" s="86"/>
      <c r="N524" s="86"/>
      <c r="O524" s="86"/>
    </row>
    <row r="525">
      <c r="C525" s="99"/>
      <c r="D525" s="100"/>
      <c r="H525" s="86"/>
      <c r="I525" s="86"/>
      <c r="J525" s="86"/>
      <c r="K525" s="86"/>
      <c r="L525" s="86"/>
      <c r="M525" s="86"/>
      <c r="N525" s="86"/>
      <c r="O525" s="86"/>
    </row>
    <row r="526">
      <c r="C526" s="99"/>
      <c r="D526" s="100"/>
      <c r="H526" s="86"/>
      <c r="I526" s="86"/>
      <c r="J526" s="86"/>
      <c r="K526" s="86"/>
      <c r="L526" s="86"/>
      <c r="M526" s="86"/>
      <c r="N526" s="86"/>
      <c r="O526" s="86"/>
    </row>
    <row r="527">
      <c r="C527" s="99"/>
      <c r="D527" s="100"/>
      <c r="H527" s="86"/>
      <c r="I527" s="86"/>
      <c r="J527" s="86"/>
      <c r="K527" s="86"/>
      <c r="L527" s="86"/>
      <c r="M527" s="86"/>
      <c r="N527" s="86"/>
      <c r="O527" s="86"/>
    </row>
    <row r="528">
      <c r="C528" s="99"/>
      <c r="D528" s="100"/>
      <c r="H528" s="86"/>
      <c r="I528" s="86"/>
      <c r="J528" s="86"/>
      <c r="K528" s="86"/>
      <c r="L528" s="86"/>
      <c r="M528" s="86"/>
      <c r="N528" s="86"/>
      <c r="O528" s="86"/>
    </row>
    <row r="529">
      <c r="C529" s="99"/>
      <c r="D529" s="100"/>
      <c r="H529" s="86"/>
      <c r="I529" s="86"/>
      <c r="J529" s="86"/>
      <c r="K529" s="86"/>
      <c r="L529" s="86"/>
      <c r="M529" s="86"/>
      <c r="N529" s="86"/>
      <c r="O529" s="86"/>
    </row>
    <row r="530">
      <c r="C530" s="99"/>
      <c r="D530" s="100"/>
      <c r="H530" s="86"/>
      <c r="I530" s="86"/>
      <c r="J530" s="86"/>
      <c r="K530" s="86"/>
      <c r="L530" s="86"/>
      <c r="M530" s="86"/>
      <c r="N530" s="86"/>
      <c r="O530" s="86"/>
    </row>
    <row r="531">
      <c r="C531" s="99"/>
      <c r="D531" s="100"/>
      <c r="H531" s="86"/>
      <c r="I531" s="86"/>
      <c r="J531" s="86"/>
      <c r="K531" s="86"/>
      <c r="L531" s="86"/>
      <c r="M531" s="86"/>
      <c r="N531" s="86"/>
      <c r="O531" s="86"/>
    </row>
    <row r="532">
      <c r="C532" s="99"/>
      <c r="D532" s="100"/>
      <c r="H532" s="86"/>
      <c r="I532" s="86"/>
      <c r="J532" s="86"/>
      <c r="K532" s="86"/>
      <c r="L532" s="86"/>
      <c r="M532" s="86"/>
      <c r="N532" s="86"/>
      <c r="O532" s="86"/>
    </row>
    <row r="533">
      <c r="C533" s="99"/>
      <c r="D533" s="100"/>
      <c r="H533" s="86"/>
      <c r="I533" s="86"/>
      <c r="J533" s="86"/>
      <c r="K533" s="86"/>
      <c r="L533" s="86"/>
      <c r="M533" s="86"/>
      <c r="N533" s="86"/>
      <c r="O533" s="86"/>
    </row>
    <row r="534">
      <c r="C534" s="99"/>
      <c r="D534" s="100"/>
      <c r="H534" s="86"/>
      <c r="I534" s="86"/>
      <c r="J534" s="86"/>
      <c r="K534" s="86"/>
      <c r="L534" s="86"/>
      <c r="M534" s="86"/>
      <c r="N534" s="86"/>
      <c r="O534" s="86"/>
    </row>
    <row r="535">
      <c r="C535" s="99"/>
      <c r="D535" s="100"/>
      <c r="H535" s="86"/>
      <c r="I535" s="86"/>
      <c r="J535" s="86"/>
      <c r="K535" s="86"/>
      <c r="L535" s="86"/>
      <c r="M535" s="86"/>
      <c r="N535" s="86"/>
      <c r="O535" s="86"/>
    </row>
    <row r="536">
      <c r="C536" s="99"/>
      <c r="D536" s="100"/>
      <c r="H536" s="86"/>
      <c r="I536" s="86"/>
      <c r="J536" s="86"/>
      <c r="K536" s="86"/>
      <c r="L536" s="86"/>
      <c r="M536" s="86"/>
      <c r="N536" s="86"/>
      <c r="O536" s="86"/>
    </row>
    <row r="537">
      <c r="C537" s="99"/>
      <c r="D537" s="100"/>
      <c r="H537" s="86"/>
      <c r="I537" s="86"/>
      <c r="J537" s="86"/>
      <c r="K537" s="86"/>
      <c r="L537" s="86"/>
      <c r="M537" s="86"/>
      <c r="N537" s="86"/>
      <c r="O537" s="86"/>
    </row>
    <row r="538">
      <c r="C538" s="99"/>
      <c r="D538" s="100"/>
      <c r="H538" s="86"/>
      <c r="I538" s="86"/>
      <c r="J538" s="86"/>
      <c r="K538" s="86"/>
      <c r="L538" s="86"/>
      <c r="M538" s="86"/>
      <c r="N538" s="86"/>
      <c r="O538" s="86"/>
    </row>
    <row r="539">
      <c r="C539" s="99"/>
      <c r="D539" s="100"/>
      <c r="H539" s="86"/>
      <c r="I539" s="86"/>
      <c r="J539" s="86"/>
      <c r="K539" s="86"/>
      <c r="L539" s="86"/>
      <c r="M539" s="86"/>
      <c r="N539" s="86"/>
      <c r="O539" s="86"/>
    </row>
    <row r="540">
      <c r="C540" s="99"/>
      <c r="D540" s="100"/>
      <c r="H540" s="86"/>
      <c r="I540" s="86"/>
      <c r="J540" s="86"/>
      <c r="K540" s="86"/>
      <c r="L540" s="86"/>
      <c r="M540" s="86"/>
      <c r="N540" s="86"/>
      <c r="O540" s="86"/>
    </row>
    <row r="541">
      <c r="C541" s="99"/>
      <c r="D541" s="100"/>
      <c r="H541" s="86"/>
      <c r="I541" s="86"/>
      <c r="J541" s="86"/>
      <c r="K541" s="86"/>
      <c r="L541" s="86"/>
      <c r="M541" s="86"/>
      <c r="N541" s="86"/>
      <c r="O541" s="86"/>
    </row>
    <row r="542">
      <c r="C542" s="99"/>
      <c r="D542" s="100"/>
      <c r="H542" s="86"/>
      <c r="I542" s="86"/>
      <c r="J542" s="86"/>
      <c r="K542" s="86"/>
      <c r="L542" s="86"/>
      <c r="M542" s="86"/>
      <c r="N542" s="86"/>
      <c r="O542" s="86"/>
    </row>
    <row r="543">
      <c r="C543" s="99"/>
      <c r="D543" s="100"/>
      <c r="H543" s="86"/>
      <c r="I543" s="86"/>
      <c r="J543" s="86"/>
      <c r="K543" s="86"/>
      <c r="L543" s="86"/>
      <c r="M543" s="86"/>
      <c r="N543" s="86"/>
      <c r="O543" s="86"/>
    </row>
    <row r="544">
      <c r="C544" s="99"/>
      <c r="D544" s="100"/>
      <c r="H544" s="86"/>
      <c r="I544" s="86"/>
      <c r="J544" s="86"/>
      <c r="K544" s="86"/>
      <c r="L544" s="86"/>
      <c r="M544" s="86"/>
      <c r="N544" s="86"/>
      <c r="O544" s="86"/>
    </row>
    <row r="545">
      <c r="C545" s="99"/>
      <c r="D545" s="100"/>
      <c r="H545" s="86"/>
      <c r="I545" s="86"/>
      <c r="J545" s="86"/>
      <c r="K545" s="86"/>
      <c r="L545" s="86"/>
      <c r="M545" s="86"/>
      <c r="N545" s="86"/>
      <c r="O545" s="86"/>
    </row>
    <row r="546">
      <c r="C546" s="99"/>
      <c r="D546" s="100"/>
      <c r="H546" s="86"/>
      <c r="I546" s="86"/>
      <c r="J546" s="86"/>
      <c r="K546" s="86"/>
      <c r="L546" s="86"/>
      <c r="M546" s="86"/>
      <c r="N546" s="86"/>
      <c r="O546" s="86"/>
    </row>
    <row r="547">
      <c r="C547" s="99"/>
      <c r="D547" s="100"/>
      <c r="H547" s="86"/>
      <c r="I547" s="86"/>
      <c r="J547" s="86"/>
      <c r="K547" s="86"/>
      <c r="L547" s="86"/>
      <c r="M547" s="86"/>
      <c r="N547" s="86"/>
      <c r="O547" s="86"/>
    </row>
    <row r="548">
      <c r="C548" s="99"/>
      <c r="D548" s="100"/>
      <c r="H548" s="86"/>
      <c r="I548" s="86"/>
      <c r="J548" s="86"/>
      <c r="K548" s="86"/>
      <c r="L548" s="86"/>
      <c r="M548" s="86"/>
      <c r="N548" s="86"/>
      <c r="O548" s="86"/>
    </row>
    <row r="549">
      <c r="C549" s="99"/>
      <c r="D549" s="100"/>
      <c r="H549" s="86"/>
      <c r="I549" s="86"/>
      <c r="J549" s="86"/>
      <c r="K549" s="86"/>
      <c r="L549" s="86"/>
      <c r="M549" s="86"/>
      <c r="N549" s="86"/>
      <c r="O549" s="86"/>
    </row>
    <row r="550">
      <c r="C550" s="99"/>
      <c r="D550" s="100"/>
      <c r="H550" s="86"/>
      <c r="I550" s="86"/>
      <c r="J550" s="86"/>
      <c r="K550" s="86"/>
      <c r="L550" s="86"/>
      <c r="M550" s="86"/>
      <c r="N550" s="86"/>
      <c r="O550" s="86"/>
    </row>
    <row r="551">
      <c r="C551" s="99"/>
      <c r="D551" s="100"/>
      <c r="H551" s="86"/>
      <c r="I551" s="86"/>
      <c r="J551" s="86"/>
      <c r="K551" s="86"/>
      <c r="L551" s="86"/>
      <c r="M551" s="86"/>
      <c r="N551" s="86"/>
      <c r="O551" s="86"/>
    </row>
    <row r="552">
      <c r="C552" s="99"/>
      <c r="D552" s="100"/>
      <c r="H552" s="86"/>
      <c r="I552" s="86"/>
      <c r="J552" s="86"/>
      <c r="K552" s="86"/>
      <c r="L552" s="86"/>
      <c r="M552" s="86"/>
      <c r="N552" s="86"/>
      <c r="O552" s="86"/>
    </row>
    <row r="553">
      <c r="C553" s="99"/>
      <c r="D553" s="100"/>
      <c r="H553" s="86"/>
      <c r="I553" s="86"/>
      <c r="J553" s="86"/>
      <c r="K553" s="86"/>
      <c r="L553" s="86"/>
      <c r="M553" s="86"/>
      <c r="N553" s="86"/>
      <c r="O553" s="86"/>
    </row>
    <row r="554">
      <c r="C554" s="99"/>
      <c r="D554" s="100"/>
      <c r="H554" s="86"/>
      <c r="I554" s="86"/>
      <c r="J554" s="86"/>
      <c r="K554" s="86"/>
      <c r="L554" s="86"/>
      <c r="M554" s="86"/>
      <c r="N554" s="86"/>
      <c r="O554" s="86"/>
    </row>
    <row r="555">
      <c r="C555" s="99"/>
      <c r="D555" s="100"/>
      <c r="H555" s="86"/>
      <c r="I555" s="86"/>
      <c r="J555" s="86"/>
      <c r="K555" s="86"/>
      <c r="L555" s="86"/>
      <c r="M555" s="86"/>
      <c r="N555" s="86"/>
      <c r="O555" s="86"/>
    </row>
    <row r="556">
      <c r="C556" s="99"/>
      <c r="D556" s="100"/>
      <c r="H556" s="86"/>
      <c r="I556" s="86"/>
      <c r="J556" s="86"/>
      <c r="K556" s="86"/>
      <c r="L556" s="86"/>
      <c r="M556" s="86"/>
      <c r="N556" s="86"/>
      <c r="O556" s="86"/>
    </row>
    <row r="557">
      <c r="C557" s="99"/>
      <c r="D557" s="100"/>
      <c r="H557" s="86"/>
      <c r="I557" s="86"/>
      <c r="J557" s="86"/>
      <c r="K557" s="86"/>
      <c r="L557" s="86"/>
      <c r="M557" s="86"/>
      <c r="N557" s="86"/>
      <c r="O557" s="86"/>
    </row>
    <row r="558">
      <c r="C558" s="99"/>
      <c r="D558" s="100"/>
      <c r="H558" s="86"/>
      <c r="I558" s="86"/>
      <c r="J558" s="86"/>
      <c r="K558" s="86"/>
      <c r="L558" s="86"/>
      <c r="M558" s="86"/>
      <c r="N558" s="86"/>
      <c r="O558" s="86"/>
    </row>
    <row r="559">
      <c r="C559" s="99"/>
      <c r="D559" s="100"/>
      <c r="H559" s="86"/>
      <c r="I559" s="86"/>
      <c r="J559" s="86"/>
      <c r="K559" s="86"/>
      <c r="L559" s="86"/>
      <c r="M559" s="86"/>
      <c r="N559" s="86"/>
      <c r="O559" s="86"/>
    </row>
    <row r="560">
      <c r="C560" s="99"/>
      <c r="D560" s="100"/>
      <c r="H560" s="86"/>
      <c r="I560" s="86"/>
      <c r="J560" s="86"/>
      <c r="K560" s="86"/>
      <c r="L560" s="86"/>
      <c r="M560" s="86"/>
      <c r="N560" s="86"/>
      <c r="O560" s="86"/>
    </row>
    <row r="561">
      <c r="C561" s="99"/>
      <c r="D561" s="100"/>
      <c r="H561" s="86"/>
      <c r="I561" s="86"/>
      <c r="J561" s="86"/>
      <c r="K561" s="86"/>
      <c r="L561" s="86"/>
      <c r="M561" s="86"/>
      <c r="N561" s="86"/>
      <c r="O561" s="86"/>
    </row>
    <row r="562">
      <c r="C562" s="99"/>
      <c r="D562" s="100"/>
      <c r="H562" s="86"/>
      <c r="I562" s="86"/>
      <c r="J562" s="86"/>
      <c r="K562" s="86"/>
      <c r="L562" s="86"/>
      <c r="M562" s="86"/>
      <c r="N562" s="86"/>
      <c r="O562" s="86"/>
    </row>
    <row r="563">
      <c r="C563" s="99"/>
      <c r="D563" s="100"/>
      <c r="H563" s="86"/>
      <c r="I563" s="86"/>
      <c r="J563" s="86"/>
      <c r="K563" s="86"/>
      <c r="L563" s="86"/>
      <c r="M563" s="86"/>
      <c r="N563" s="86"/>
      <c r="O563" s="86"/>
    </row>
    <row r="564">
      <c r="C564" s="99"/>
      <c r="D564" s="100"/>
      <c r="H564" s="86"/>
      <c r="I564" s="86"/>
      <c r="J564" s="86"/>
      <c r="K564" s="86"/>
      <c r="L564" s="86"/>
      <c r="M564" s="86"/>
      <c r="N564" s="86"/>
      <c r="O564" s="86"/>
    </row>
    <row r="565">
      <c r="C565" s="99"/>
      <c r="D565" s="100"/>
      <c r="H565" s="86"/>
      <c r="I565" s="86"/>
      <c r="J565" s="86"/>
      <c r="K565" s="86"/>
      <c r="L565" s="86"/>
      <c r="M565" s="86"/>
      <c r="N565" s="86"/>
      <c r="O565" s="86"/>
    </row>
    <row r="566">
      <c r="C566" s="99"/>
      <c r="D566" s="100"/>
      <c r="H566" s="86"/>
      <c r="I566" s="86"/>
      <c r="J566" s="86"/>
      <c r="K566" s="86"/>
      <c r="L566" s="86"/>
      <c r="M566" s="86"/>
      <c r="N566" s="86"/>
      <c r="O566" s="86"/>
    </row>
    <row r="567">
      <c r="C567" s="99"/>
      <c r="D567" s="100"/>
      <c r="H567" s="86"/>
      <c r="I567" s="86"/>
      <c r="J567" s="86"/>
      <c r="K567" s="86"/>
      <c r="L567" s="86"/>
      <c r="M567" s="86"/>
      <c r="N567" s="86"/>
      <c r="O567" s="86"/>
    </row>
    <row r="568">
      <c r="C568" s="99"/>
      <c r="D568" s="100"/>
      <c r="H568" s="86"/>
      <c r="I568" s="86"/>
      <c r="J568" s="86"/>
      <c r="K568" s="86"/>
      <c r="L568" s="86"/>
      <c r="M568" s="86"/>
      <c r="N568" s="86"/>
      <c r="O568" s="86"/>
    </row>
    <row r="569">
      <c r="C569" s="99"/>
      <c r="D569" s="100"/>
      <c r="H569" s="86"/>
      <c r="I569" s="86"/>
      <c r="J569" s="86"/>
      <c r="K569" s="86"/>
      <c r="L569" s="86"/>
      <c r="M569" s="86"/>
      <c r="N569" s="86"/>
      <c r="O569" s="86"/>
    </row>
    <row r="570">
      <c r="C570" s="99"/>
      <c r="D570" s="100"/>
      <c r="H570" s="86"/>
      <c r="I570" s="86"/>
      <c r="J570" s="86"/>
      <c r="K570" s="86"/>
      <c r="L570" s="86"/>
      <c r="M570" s="86"/>
      <c r="N570" s="86"/>
      <c r="O570" s="86"/>
    </row>
    <row r="571">
      <c r="C571" s="99"/>
      <c r="D571" s="100"/>
      <c r="H571" s="86"/>
      <c r="I571" s="86"/>
      <c r="J571" s="86"/>
      <c r="K571" s="86"/>
      <c r="L571" s="86"/>
      <c r="M571" s="86"/>
      <c r="N571" s="86"/>
      <c r="O571" s="86"/>
    </row>
    <row r="572">
      <c r="C572" s="99"/>
      <c r="D572" s="100"/>
      <c r="H572" s="86"/>
      <c r="I572" s="86"/>
      <c r="J572" s="86"/>
      <c r="K572" s="86"/>
      <c r="L572" s="86"/>
      <c r="M572" s="86"/>
      <c r="N572" s="86"/>
      <c r="O572" s="86"/>
    </row>
    <row r="573">
      <c r="C573" s="99"/>
      <c r="D573" s="100"/>
      <c r="H573" s="86"/>
      <c r="I573" s="86"/>
      <c r="J573" s="86"/>
      <c r="K573" s="86"/>
      <c r="L573" s="86"/>
      <c r="M573" s="86"/>
      <c r="N573" s="86"/>
      <c r="O573" s="86"/>
    </row>
    <row r="574">
      <c r="C574" s="99"/>
      <c r="D574" s="100"/>
      <c r="H574" s="86"/>
      <c r="I574" s="86"/>
      <c r="J574" s="86"/>
      <c r="K574" s="86"/>
      <c r="L574" s="86"/>
      <c r="M574" s="86"/>
      <c r="N574" s="86"/>
      <c r="O574" s="86"/>
    </row>
    <row r="575">
      <c r="C575" s="99"/>
      <c r="D575" s="100"/>
      <c r="H575" s="86"/>
      <c r="I575" s="86"/>
      <c r="J575" s="86"/>
      <c r="K575" s="86"/>
      <c r="L575" s="86"/>
      <c r="M575" s="86"/>
      <c r="N575" s="86"/>
      <c r="O575" s="86"/>
    </row>
    <row r="576">
      <c r="C576" s="99"/>
      <c r="D576" s="100"/>
      <c r="H576" s="86"/>
      <c r="I576" s="86"/>
      <c r="J576" s="86"/>
      <c r="K576" s="86"/>
      <c r="L576" s="86"/>
      <c r="M576" s="86"/>
      <c r="N576" s="86"/>
      <c r="O576" s="86"/>
    </row>
    <row r="577">
      <c r="C577" s="99"/>
      <c r="D577" s="100"/>
      <c r="H577" s="86"/>
      <c r="I577" s="86"/>
      <c r="J577" s="86"/>
      <c r="K577" s="86"/>
      <c r="L577" s="86"/>
      <c r="M577" s="86"/>
      <c r="N577" s="86"/>
      <c r="O577" s="86"/>
    </row>
    <row r="578">
      <c r="C578" s="99"/>
      <c r="D578" s="100"/>
      <c r="H578" s="86"/>
      <c r="I578" s="86"/>
      <c r="J578" s="86"/>
      <c r="K578" s="86"/>
      <c r="L578" s="86"/>
      <c r="M578" s="86"/>
      <c r="N578" s="86"/>
      <c r="O578" s="86"/>
    </row>
    <row r="579">
      <c r="C579" s="99"/>
      <c r="D579" s="100"/>
      <c r="H579" s="86"/>
      <c r="I579" s="86"/>
      <c r="J579" s="86"/>
      <c r="K579" s="86"/>
      <c r="L579" s="86"/>
      <c r="M579" s="86"/>
      <c r="N579" s="86"/>
      <c r="O579" s="86"/>
    </row>
    <row r="580">
      <c r="C580" s="99"/>
      <c r="D580" s="100"/>
      <c r="H580" s="86"/>
      <c r="I580" s="86"/>
      <c r="J580" s="86"/>
      <c r="K580" s="86"/>
      <c r="L580" s="86"/>
      <c r="M580" s="86"/>
      <c r="N580" s="86"/>
      <c r="O580" s="86"/>
    </row>
    <row r="581">
      <c r="C581" s="99"/>
      <c r="D581" s="100"/>
      <c r="H581" s="86"/>
      <c r="I581" s="86"/>
      <c r="J581" s="86"/>
      <c r="K581" s="86"/>
      <c r="L581" s="86"/>
      <c r="M581" s="86"/>
      <c r="N581" s="86"/>
      <c r="O581" s="86"/>
    </row>
    <row r="582">
      <c r="C582" s="99"/>
      <c r="D582" s="100"/>
      <c r="H582" s="86"/>
      <c r="I582" s="86"/>
      <c r="J582" s="86"/>
      <c r="K582" s="86"/>
      <c r="L582" s="86"/>
      <c r="M582" s="86"/>
      <c r="N582" s="86"/>
      <c r="O582" s="86"/>
    </row>
    <row r="583">
      <c r="C583" s="99"/>
      <c r="D583" s="100"/>
      <c r="H583" s="86"/>
      <c r="I583" s="86"/>
      <c r="J583" s="86"/>
      <c r="K583" s="86"/>
      <c r="L583" s="86"/>
      <c r="M583" s="86"/>
      <c r="N583" s="86"/>
      <c r="O583" s="86"/>
    </row>
    <row r="584">
      <c r="C584" s="99"/>
      <c r="D584" s="100"/>
      <c r="H584" s="86"/>
      <c r="I584" s="86"/>
      <c r="J584" s="86"/>
      <c r="K584" s="86"/>
      <c r="L584" s="86"/>
      <c r="M584" s="86"/>
      <c r="N584" s="86"/>
      <c r="O584" s="86"/>
    </row>
    <row r="585">
      <c r="C585" s="99"/>
      <c r="D585" s="100"/>
      <c r="H585" s="86"/>
      <c r="I585" s="86"/>
      <c r="J585" s="86"/>
      <c r="K585" s="86"/>
      <c r="L585" s="86"/>
      <c r="M585" s="86"/>
      <c r="N585" s="86"/>
      <c r="O585" s="86"/>
    </row>
    <row r="586">
      <c r="C586" s="99"/>
      <c r="D586" s="100"/>
      <c r="H586" s="86"/>
      <c r="I586" s="86"/>
      <c r="J586" s="86"/>
      <c r="K586" s="86"/>
      <c r="L586" s="86"/>
      <c r="M586" s="86"/>
      <c r="N586" s="86"/>
      <c r="O586" s="86"/>
    </row>
    <row r="587">
      <c r="C587" s="99"/>
      <c r="D587" s="100"/>
      <c r="H587" s="86"/>
      <c r="I587" s="86"/>
      <c r="J587" s="86"/>
      <c r="K587" s="86"/>
      <c r="L587" s="86"/>
      <c r="M587" s="86"/>
      <c r="N587" s="86"/>
      <c r="O587" s="86"/>
    </row>
    <row r="588">
      <c r="C588" s="99"/>
      <c r="D588" s="100"/>
      <c r="H588" s="86"/>
      <c r="I588" s="86"/>
      <c r="J588" s="86"/>
      <c r="K588" s="86"/>
      <c r="L588" s="86"/>
      <c r="M588" s="86"/>
      <c r="N588" s="86"/>
      <c r="O588" s="86"/>
    </row>
    <row r="589">
      <c r="C589" s="99"/>
      <c r="D589" s="100"/>
      <c r="H589" s="86"/>
      <c r="I589" s="86"/>
      <c r="J589" s="86"/>
      <c r="K589" s="86"/>
      <c r="L589" s="86"/>
      <c r="M589" s="86"/>
      <c r="N589" s="86"/>
      <c r="O589" s="86"/>
    </row>
    <row r="590">
      <c r="C590" s="99"/>
      <c r="D590" s="100"/>
      <c r="H590" s="86"/>
      <c r="I590" s="86"/>
      <c r="J590" s="86"/>
      <c r="K590" s="86"/>
      <c r="L590" s="86"/>
      <c r="M590" s="86"/>
      <c r="N590" s="86"/>
      <c r="O590" s="86"/>
    </row>
    <row r="591">
      <c r="C591" s="99"/>
      <c r="D591" s="100"/>
      <c r="H591" s="86"/>
      <c r="I591" s="86"/>
      <c r="J591" s="86"/>
      <c r="K591" s="86"/>
      <c r="L591" s="86"/>
      <c r="M591" s="86"/>
      <c r="N591" s="86"/>
      <c r="O591" s="86"/>
    </row>
    <row r="592">
      <c r="C592" s="99"/>
      <c r="D592" s="100"/>
      <c r="H592" s="86"/>
      <c r="I592" s="86"/>
      <c r="J592" s="86"/>
      <c r="K592" s="86"/>
      <c r="L592" s="86"/>
      <c r="M592" s="86"/>
      <c r="N592" s="86"/>
      <c r="O592" s="86"/>
    </row>
    <row r="593">
      <c r="C593" s="99"/>
      <c r="D593" s="100"/>
      <c r="H593" s="86"/>
      <c r="I593" s="86"/>
      <c r="J593" s="86"/>
      <c r="K593" s="86"/>
      <c r="L593" s="86"/>
      <c r="M593" s="86"/>
      <c r="N593" s="86"/>
      <c r="O593" s="86"/>
    </row>
    <row r="594">
      <c r="C594" s="99"/>
      <c r="D594" s="100"/>
      <c r="H594" s="86"/>
      <c r="I594" s="86"/>
      <c r="J594" s="86"/>
      <c r="K594" s="86"/>
      <c r="L594" s="86"/>
      <c r="M594" s="86"/>
      <c r="N594" s="86"/>
      <c r="O594" s="86"/>
    </row>
    <row r="595">
      <c r="C595" s="99"/>
      <c r="D595" s="100"/>
      <c r="H595" s="86"/>
      <c r="I595" s="86"/>
      <c r="J595" s="86"/>
      <c r="K595" s="86"/>
      <c r="L595" s="86"/>
      <c r="M595" s="86"/>
      <c r="N595" s="86"/>
      <c r="O595" s="86"/>
    </row>
    <row r="596">
      <c r="C596" s="99"/>
      <c r="D596" s="100"/>
      <c r="H596" s="86"/>
      <c r="I596" s="86"/>
      <c r="J596" s="86"/>
      <c r="K596" s="86"/>
      <c r="L596" s="86"/>
      <c r="M596" s="86"/>
      <c r="N596" s="86"/>
      <c r="O596" s="86"/>
    </row>
    <row r="597">
      <c r="C597" s="99"/>
      <c r="D597" s="100"/>
      <c r="H597" s="86"/>
      <c r="I597" s="86"/>
      <c r="J597" s="86"/>
      <c r="K597" s="86"/>
      <c r="L597" s="86"/>
      <c r="M597" s="86"/>
      <c r="N597" s="86"/>
      <c r="O597" s="86"/>
    </row>
    <row r="598">
      <c r="C598" s="99"/>
      <c r="D598" s="100"/>
      <c r="H598" s="86"/>
      <c r="I598" s="86"/>
      <c r="J598" s="86"/>
      <c r="K598" s="86"/>
      <c r="L598" s="86"/>
      <c r="M598" s="86"/>
      <c r="N598" s="86"/>
      <c r="O598" s="86"/>
    </row>
    <row r="599">
      <c r="C599" s="99"/>
      <c r="D599" s="100"/>
      <c r="H599" s="86"/>
      <c r="I599" s="86"/>
      <c r="J599" s="86"/>
      <c r="K599" s="86"/>
      <c r="L599" s="86"/>
      <c r="M599" s="86"/>
      <c r="N599" s="86"/>
      <c r="O599" s="86"/>
    </row>
    <row r="600">
      <c r="C600" s="99"/>
      <c r="D600" s="100"/>
      <c r="H600" s="86"/>
      <c r="I600" s="86"/>
      <c r="J600" s="86"/>
      <c r="K600" s="86"/>
      <c r="L600" s="86"/>
      <c r="M600" s="86"/>
      <c r="N600" s="86"/>
      <c r="O600" s="86"/>
    </row>
    <row r="601">
      <c r="C601" s="99"/>
      <c r="D601" s="100"/>
      <c r="H601" s="86"/>
      <c r="I601" s="86"/>
      <c r="J601" s="86"/>
      <c r="K601" s="86"/>
      <c r="L601" s="86"/>
      <c r="M601" s="86"/>
      <c r="N601" s="86"/>
      <c r="O601" s="86"/>
    </row>
    <row r="602">
      <c r="C602" s="99"/>
      <c r="D602" s="100"/>
      <c r="H602" s="86"/>
      <c r="I602" s="86"/>
      <c r="J602" s="86"/>
      <c r="K602" s="86"/>
      <c r="L602" s="86"/>
      <c r="M602" s="86"/>
      <c r="N602" s="86"/>
      <c r="O602" s="86"/>
    </row>
    <row r="603">
      <c r="C603" s="99"/>
      <c r="D603" s="100"/>
      <c r="H603" s="86"/>
      <c r="I603" s="86"/>
      <c r="J603" s="86"/>
      <c r="K603" s="86"/>
      <c r="L603" s="86"/>
      <c r="M603" s="86"/>
      <c r="N603" s="86"/>
      <c r="O603" s="86"/>
    </row>
    <row r="604">
      <c r="C604" s="99"/>
      <c r="D604" s="100"/>
      <c r="H604" s="86"/>
      <c r="I604" s="86"/>
      <c r="J604" s="86"/>
      <c r="K604" s="86"/>
      <c r="L604" s="86"/>
      <c r="M604" s="86"/>
      <c r="N604" s="86"/>
      <c r="O604" s="86"/>
    </row>
    <row r="605">
      <c r="C605" s="99"/>
      <c r="D605" s="100"/>
      <c r="H605" s="86"/>
      <c r="I605" s="86"/>
      <c r="J605" s="86"/>
      <c r="K605" s="86"/>
      <c r="L605" s="86"/>
      <c r="M605" s="86"/>
      <c r="N605" s="86"/>
      <c r="O605" s="86"/>
    </row>
    <row r="606">
      <c r="C606" s="99"/>
      <c r="D606" s="100"/>
      <c r="H606" s="86"/>
      <c r="I606" s="86"/>
      <c r="J606" s="86"/>
      <c r="K606" s="86"/>
      <c r="L606" s="86"/>
      <c r="M606" s="86"/>
      <c r="N606" s="86"/>
      <c r="O606" s="86"/>
    </row>
    <row r="607">
      <c r="C607" s="99"/>
      <c r="D607" s="100"/>
      <c r="H607" s="86"/>
      <c r="I607" s="86"/>
      <c r="J607" s="86"/>
      <c r="K607" s="86"/>
      <c r="L607" s="86"/>
      <c r="M607" s="86"/>
      <c r="N607" s="86"/>
      <c r="O607" s="86"/>
    </row>
    <row r="608">
      <c r="C608" s="99"/>
      <c r="D608" s="100"/>
      <c r="H608" s="86"/>
      <c r="I608" s="86"/>
      <c r="J608" s="86"/>
      <c r="K608" s="86"/>
      <c r="L608" s="86"/>
      <c r="M608" s="86"/>
      <c r="N608" s="86"/>
      <c r="O608" s="86"/>
    </row>
    <row r="609">
      <c r="C609" s="99"/>
      <c r="D609" s="100"/>
      <c r="H609" s="86"/>
      <c r="I609" s="86"/>
      <c r="J609" s="86"/>
      <c r="K609" s="86"/>
      <c r="L609" s="86"/>
      <c r="M609" s="86"/>
      <c r="N609" s="86"/>
      <c r="O609" s="86"/>
    </row>
    <row r="610">
      <c r="C610" s="99"/>
      <c r="D610" s="100"/>
      <c r="H610" s="86"/>
      <c r="I610" s="86"/>
      <c r="J610" s="86"/>
      <c r="K610" s="86"/>
      <c r="L610" s="86"/>
      <c r="M610" s="86"/>
      <c r="N610" s="86"/>
      <c r="O610" s="86"/>
    </row>
    <row r="611">
      <c r="C611" s="99"/>
      <c r="D611" s="100"/>
      <c r="H611" s="86"/>
      <c r="I611" s="86"/>
      <c r="J611" s="86"/>
      <c r="K611" s="86"/>
      <c r="L611" s="86"/>
      <c r="M611" s="86"/>
      <c r="N611" s="86"/>
      <c r="O611" s="86"/>
    </row>
    <row r="612">
      <c r="C612" s="99"/>
      <c r="D612" s="100"/>
      <c r="H612" s="86"/>
      <c r="I612" s="86"/>
      <c r="J612" s="86"/>
      <c r="K612" s="86"/>
      <c r="L612" s="86"/>
      <c r="M612" s="86"/>
      <c r="N612" s="86"/>
      <c r="O612" s="86"/>
    </row>
    <row r="613">
      <c r="C613" s="99"/>
      <c r="D613" s="100"/>
      <c r="H613" s="86"/>
      <c r="I613" s="86"/>
      <c r="J613" s="86"/>
      <c r="K613" s="86"/>
      <c r="L613" s="86"/>
      <c r="M613" s="86"/>
      <c r="N613" s="86"/>
      <c r="O613" s="86"/>
    </row>
    <row r="614">
      <c r="C614" s="99"/>
      <c r="D614" s="100"/>
      <c r="H614" s="86"/>
      <c r="I614" s="86"/>
      <c r="J614" s="86"/>
      <c r="K614" s="86"/>
      <c r="L614" s="86"/>
      <c r="M614" s="86"/>
      <c r="N614" s="86"/>
      <c r="O614" s="86"/>
    </row>
    <row r="615">
      <c r="C615" s="99"/>
      <c r="D615" s="100"/>
      <c r="H615" s="86"/>
      <c r="I615" s="86"/>
      <c r="J615" s="86"/>
      <c r="K615" s="86"/>
      <c r="L615" s="86"/>
      <c r="M615" s="86"/>
      <c r="N615" s="86"/>
      <c r="O615" s="86"/>
    </row>
    <row r="616">
      <c r="C616" s="99"/>
      <c r="D616" s="100"/>
      <c r="H616" s="86"/>
      <c r="I616" s="86"/>
      <c r="J616" s="86"/>
      <c r="K616" s="86"/>
      <c r="L616" s="86"/>
      <c r="M616" s="86"/>
      <c r="N616" s="86"/>
      <c r="O616" s="86"/>
    </row>
    <row r="617">
      <c r="C617" s="99"/>
      <c r="D617" s="100"/>
      <c r="H617" s="86"/>
      <c r="I617" s="86"/>
      <c r="J617" s="86"/>
      <c r="K617" s="86"/>
      <c r="L617" s="86"/>
      <c r="M617" s="86"/>
      <c r="N617" s="86"/>
      <c r="O617" s="86"/>
    </row>
    <row r="618">
      <c r="C618" s="99"/>
      <c r="D618" s="100"/>
      <c r="H618" s="86"/>
      <c r="I618" s="86"/>
      <c r="J618" s="86"/>
      <c r="K618" s="86"/>
      <c r="L618" s="86"/>
      <c r="M618" s="86"/>
      <c r="N618" s="86"/>
      <c r="O618" s="86"/>
    </row>
    <row r="619">
      <c r="C619" s="99"/>
      <c r="D619" s="100"/>
      <c r="H619" s="86"/>
      <c r="I619" s="86"/>
      <c r="J619" s="86"/>
      <c r="K619" s="86"/>
      <c r="L619" s="86"/>
      <c r="M619" s="86"/>
      <c r="N619" s="86"/>
      <c r="O619" s="86"/>
    </row>
    <row r="620">
      <c r="C620" s="99"/>
      <c r="D620" s="100"/>
      <c r="H620" s="86"/>
      <c r="I620" s="86"/>
      <c r="J620" s="86"/>
      <c r="K620" s="86"/>
      <c r="L620" s="86"/>
      <c r="M620" s="86"/>
      <c r="N620" s="86"/>
      <c r="O620" s="86"/>
    </row>
    <row r="621">
      <c r="C621" s="99"/>
      <c r="D621" s="100"/>
      <c r="H621" s="86"/>
      <c r="I621" s="86"/>
      <c r="J621" s="86"/>
      <c r="K621" s="86"/>
      <c r="L621" s="86"/>
      <c r="M621" s="86"/>
      <c r="N621" s="86"/>
      <c r="O621" s="86"/>
    </row>
    <row r="622">
      <c r="C622" s="99"/>
      <c r="D622" s="100"/>
      <c r="H622" s="86"/>
      <c r="I622" s="86"/>
      <c r="J622" s="86"/>
      <c r="K622" s="86"/>
      <c r="L622" s="86"/>
      <c r="M622" s="86"/>
      <c r="N622" s="86"/>
      <c r="O622" s="86"/>
    </row>
    <row r="623">
      <c r="C623" s="99"/>
      <c r="D623" s="100"/>
      <c r="H623" s="86"/>
      <c r="I623" s="86"/>
      <c r="J623" s="86"/>
      <c r="K623" s="86"/>
      <c r="L623" s="86"/>
      <c r="M623" s="86"/>
      <c r="N623" s="86"/>
      <c r="O623" s="86"/>
    </row>
    <row r="624">
      <c r="C624" s="99"/>
      <c r="D624" s="100"/>
      <c r="H624" s="86"/>
      <c r="I624" s="86"/>
      <c r="J624" s="86"/>
      <c r="K624" s="86"/>
      <c r="L624" s="86"/>
      <c r="M624" s="86"/>
      <c r="N624" s="86"/>
      <c r="O624" s="86"/>
    </row>
    <row r="625">
      <c r="C625" s="99"/>
      <c r="D625" s="100"/>
      <c r="H625" s="86"/>
      <c r="I625" s="86"/>
      <c r="J625" s="86"/>
      <c r="K625" s="86"/>
      <c r="L625" s="86"/>
      <c r="M625" s="86"/>
      <c r="N625" s="86"/>
      <c r="O625" s="86"/>
    </row>
    <row r="626">
      <c r="C626" s="99"/>
      <c r="D626" s="100"/>
      <c r="H626" s="86"/>
      <c r="I626" s="86"/>
      <c r="J626" s="86"/>
      <c r="K626" s="86"/>
      <c r="L626" s="86"/>
      <c r="M626" s="86"/>
      <c r="N626" s="86"/>
      <c r="O626" s="86"/>
    </row>
    <row r="627">
      <c r="C627" s="99"/>
      <c r="D627" s="100"/>
      <c r="H627" s="86"/>
      <c r="I627" s="86"/>
      <c r="J627" s="86"/>
      <c r="K627" s="86"/>
      <c r="L627" s="86"/>
      <c r="M627" s="86"/>
      <c r="N627" s="86"/>
      <c r="O627" s="86"/>
    </row>
    <row r="628">
      <c r="C628" s="99"/>
      <c r="D628" s="100"/>
      <c r="H628" s="86"/>
      <c r="I628" s="86"/>
      <c r="J628" s="86"/>
      <c r="K628" s="86"/>
      <c r="L628" s="86"/>
      <c r="M628" s="86"/>
      <c r="N628" s="86"/>
      <c r="O628" s="86"/>
    </row>
    <row r="629">
      <c r="C629" s="99"/>
      <c r="D629" s="100"/>
      <c r="H629" s="86"/>
      <c r="I629" s="86"/>
      <c r="J629" s="86"/>
      <c r="K629" s="86"/>
      <c r="L629" s="86"/>
      <c r="M629" s="86"/>
      <c r="N629" s="86"/>
      <c r="O629" s="86"/>
    </row>
    <row r="630">
      <c r="C630" s="99"/>
      <c r="D630" s="100"/>
      <c r="H630" s="86"/>
      <c r="I630" s="86"/>
      <c r="J630" s="86"/>
      <c r="K630" s="86"/>
      <c r="L630" s="86"/>
      <c r="M630" s="86"/>
      <c r="N630" s="86"/>
      <c r="O630" s="86"/>
    </row>
    <row r="631">
      <c r="C631" s="99"/>
      <c r="D631" s="100"/>
      <c r="H631" s="86"/>
      <c r="I631" s="86"/>
      <c r="J631" s="86"/>
      <c r="K631" s="86"/>
      <c r="L631" s="86"/>
      <c r="M631" s="86"/>
      <c r="N631" s="86"/>
      <c r="O631" s="86"/>
    </row>
    <row r="632">
      <c r="C632" s="99"/>
      <c r="D632" s="100"/>
      <c r="H632" s="86"/>
      <c r="I632" s="86"/>
      <c r="J632" s="86"/>
      <c r="K632" s="86"/>
      <c r="L632" s="86"/>
      <c r="M632" s="86"/>
      <c r="N632" s="86"/>
      <c r="O632" s="86"/>
    </row>
    <row r="633">
      <c r="C633" s="99"/>
      <c r="D633" s="100"/>
      <c r="H633" s="86"/>
      <c r="I633" s="86"/>
      <c r="J633" s="86"/>
      <c r="K633" s="86"/>
      <c r="L633" s="86"/>
      <c r="M633" s="86"/>
      <c r="N633" s="86"/>
      <c r="O633" s="86"/>
    </row>
    <row r="634">
      <c r="C634" s="99"/>
      <c r="D634" s="100"/>
      <c r="H634" s="86"/>
      <c r="I634" s="86"/>
      <c r="J634" s="86"/>
      <c r="K634" s="86"/>
      <c r="L634" s="86"/>
      <c r="M634" s="86"/>
      <c r="N634" s="86"/>
      <c r="O634" s="86"/>
    </row>
    <row r="635">
      <c r="C635" s="99"/>
      <c r="D635" s="100"/>
      <c r="H635" s="86"/>
      <c r="I635" s="86"/>
      <c r="J635" s="86"/>
      <c r="K635" s="86"/>
      <c r="L635" s="86"/>
      <c r="M635" s="86"/>
      <c r="N635" s="86"/>
      <c r="O635" s="86"/>
    </row>
    <row r="636">
      <c r="C636" s="99"/>
      <c r="D636" s="100"/>
      <c r="H636" s="86"/>
      <c r="I636" s="86"/>
      <c r="J636" s="86"/>
      <c r="K636" s="86"/>
      <c r="L636" s="86"/>
      <c r="M636" s="86"/>
      <c r="N636" s="86"/>
      <c r="O636" s="86"/>
    </row>
    <row r="637">
      <c r="C637" s="99"/>
      <c r="D637" s="100"/>
      <c r="H637" s="86"/>
      <c r="I637" s="86"/>
      <c r="J637" s="86"/>
      <c r="K637" s="86"/>
      <c r="L637" s="86"/>
      <c r="M637" s="86"/>
      <c r="N637" s="86"/>
      <c r="O637" s="86"/>
    </row>
    <row r="638">
      <c r="C638" s="99"/>
      <c r="D638" s="100"/>
      <c r="H638" s="86"/>
      <c r="I638" s="86"/>
      <c r="J638" s="86"/>
      <c r="K638" s="86"/>
      <c r="L638" s="86"/>
      <c r="M638" s="86"/>
      <c r="N638" s="86"/>
      <c r="O638" s="86"/>
    </row>
    <row r="639">
      <c r="C639" s="99"/>
      <c r="D639" s="100"/>
      <c r="H639" s="86"/>
      <c r="I639" s="86"/>
      <c r="J639" s="86"/>
      <c r="K639" s="86"/>
      <c r="L639" s="86"/>
      <c r="M639" s="86"/>
      <c r="N639" s="86"/>
      <c r="O639" s="86"/>
    </row>
    <row r="640">
      <c r="C640" s="99"/>
      <c r="D640" s="100"/>
      <c r="H640" s="86"/>
      <c r="I640" s="86"/>
      <c r="J640" s="86"/>
      <c r="K640" s="86"/>
      <c r="L640" s="86"/>
      <c r="M640" s="86"/>
      <c r="N640" s="86"/>
      <c r="O640" s="86"/>
    </row>
    <row r="641">
      <c r="C641" s="99"/>
      <c r="D641" s="100"/>
      <c r="H641" s="86"/>
      <c r="I641" s="86"/>
      <c r="J641" s="86"/>
      <c r="K641" s="86"/>
      <c r="L641" s="86"/>
      <c r="M641" s="86"/>
      <c r="N641" s="86"/>
      <c r="O641" s="86"/>
    </row>
    <row r="642">
      <c r="C642" s="99"/>
      <c r="D642" s="100"/>
      <c r="H642" s="86"/>
      <c r="I642" s="86"/>
      <c r="J642" s="86"/>
      <c r="K642" s="86"/>
      <c r="L642" s="86"/>
      <c r="M642" s="86"/>
      <c r="N642" s="86"/>
      <c r="O642" s="86"/>
    </row>
    <row r="643">
      <c r="C643" s="99"/>
      <c r="D643" s="100"/>
      <c r="H643" s="86"/>
      <c r="I643" s="86"/>
      <c r="J643" s="86"/>
      <c r="K643" s="86"/>
      <c r="L643" s="86"/>
      <c r="M643" s="86"/>
      <c r="N643" s="86"/>
      <c r="O643" s="86"/>
    </row>
    <row r="644">
      <c r="C644" s="99"/>
      <c r="D644" s="100"/>
      <c r="H644" s="86"/>
      <c r="I644" s="86"/>
      <c r="J644" s="86"/>
      <c r="K644" s="86"/>
      <c r="L644" s="86"/>
      <c r="M644" s="86"/>
      <c r="N644" s="86"/>
      <c r="O644" s="86"/>
    </row>
    <row r="645">
      <c r="C645" s="99"/>
      <c r="D645" s="100"/>
      <c r="H645" s="86"/>
      <c r="I645" s="86"/>
      <c r="J645" s="86"/>
      <c r="K645" s="86"/>
      <c r="L645" s="86"/>
      <c r="M645" s="86"/>
      <c r="N645" s="86"/>
      <c r="O645" s="86"/>
    </row>
    <row r="646">
      <c r="C646" s="99"/>
      <c r="D646" s="100"/>
      <c r="H646" s="86"/>
      <c r="I646" s="86"/>
      <c r="J646" s="86"/>
      <c r="K646" s="86"/>
      <c r="L646" s="86"/>
      <c r="M646" s="86"/>
      <c r="N646" s="86"/>
      <c r="O646" s="86"/>
    </row>
    <row r="647">
      <c r="C647" s="99"/>
      <c r="D647" s="100"/>
      <c r="H647" s="86"/>
      <c r="I647" s="86"/>
      <c r="J647" s="86"/>
      <c r="K647" s="86"/>
      <c r="L647" s="86"/>
      <c r="M647" s="86"/>
      <c r="N647" s="86"/>
      <c r="O647" s="86"/>
    </row>
    <row r="648">
      <c r="C648" s="99"/>
      <c r="D648" s="100"/>
      <c r="H648" s="86"/>
      <c r="I648" s="86"/>
      <c r="J648" s="86"/>
      <c r="K648" s="86"/>
      <c r="L648" s="86"/>
      <c r="M648" s="86"/>
      <c r="N648" s="86"/>
      <c r="O648" s="86"/>
    </row>
    <row r="649">
      <c r="C649" s="99"/>
      <c r="D649" s="100"/>
      <c r="H649" s="86"/>
      <c r="I649" s="86"/>
      <c r="J649" s="86"/>
      <c r="K649" s="86"/>
      <c r="L649" s="86"/>
      <c r="M649" s="86"/>
      <c r="N649" s="86"/>
      <c r="O649" s="86"/>
    </row>
    <row r="650">
      <c r="C650" s="99"/>
      <c r="D650" s="100"/>
      <c r="H650" s="86"/>
      <c r="I650" s="86"/>
      <c r="J650" s="86"/>
      <c r="K650" s="86"/>
      <c r="L650" s="86"/>
      <c r="M650" s="86"/>
      <c r="N650" s="86"/>
      <c r="O650" s="86"/>
    </row>
    <row r="651">
      <c r="C651" s="99"/>
      <c r="D651" s="100"/>
      <c r="H651" s="86"/>
      <c r="I651" s="86"/>
      <c r="J651" s="86"/>
      <c r="K651" s="86"/>
      <c r="L651" s="86"/>
      <c r="M651" s="86"/>
      <c r="N651" s="86"/>
      <c r="O651" s="86"/>
    </row>
    <row r="652">
      <c r="C652" s="99"/>
      <c r="D652" s="100"/>
      <c r="H652" s="86"/>
      <c r="I652" s="86"/>
      <c r="J652" s="86"/>
      <c r="K652" s="86"/>
      <c r="L652" s="86"/>
      <c r="M652" s="86"/>
      <c r="N652" s="86"/>
      <c r="O652" s="86"/>
    </row>
    <row r="653">
      <c r="C653" s="99"/>
      <c r="D653" s="100"/>
      <c r="H653" s="86"/>
      <c r="I653" s="86"/>
      <c r="J653" s="86"/>
      <c r="K653" s="86"/>
      <c r="L653" s="86"/>
      <c r="M653" s="86"/>
      <c r="N653" s="86"/>
      <c r="O653" s="86"/>
    </row>
    <row r="654">
      <c r="C654" s="99"/>
      <c r="D654" s="100"/>
      <c r="H654" s="86"/>
      <c r="I654" s="86"/>
      <c r="J654" s="86"/>
      <c r="K654" s="86"/>
      <c r="L654" s="86"/>
      <c r="M654" s="86"/>
      <c r="N654" s="86"/>
      <c r="O654" s="86"/>
    </row>
    <row r="655">
      <c r="C655" s="99"/>
      <c r="D655" s="100"/>
      <c r="H655" s="86"/>
      <c r="I655" s="86"/>
      <c r="J655" s="86"/>
      <c r="K655" s="86"/>
      <c r="L655" s="86"/>
      <c r="M655" s="86"/>
      <c r="N655" s="86"/>
      <c r="O655" s="86"/>
    </row>
    <row r="656">
      <c r="C656" s="99"/>
      <c r="D656" s="100"/>
      <c r="H656" s="86"/>
      <c r="I656" s="86"/>
      <c r="J656" s="86"/>
      <c r="K656" s="86"/>
      <c r="L656" s="86"/>
      <c r="M656" s="86"/>
      <c r="N656" s="86"/>
      <c r="O656" s="86"/>
    </row>
    <row r="657">
      <c r="C657" s="99"/>
      <c r="D657" s="100"/>
      <c r="H657" s="86"/>
      <c r="I657" s="86"/>
      <c r="J657" s="86"/>
      <c r="K657" s="86"/>
      <c r="L657" s="86"/>
      <c r="M657" s="86"/>
      <c r="N657" s="86"/>
      <c r="O657" s="86"/>
    </row>
    <row r="658">
      <c r="C658" s="99"/>
      <c r="D658" s="100"/>
      <c r="H658" s="86"/>
      <c r="I658" s="86"/>
      <c r="J658" s="86"/>
      <c r="K658" s="86"/>
      <c r="L658" s="86"/>
      <c r="M658" s="86"/>
      <c r="N658" s="86"/>
      <c r="O658" s="86"/>
    </row>
    <row r="659">
      <c r="C659" s="99"/>
      <c r="D659" s="100"/>
      <c r="H659" s="86"/>
      <c r="I659" s="86"/>
      <c r="J659" s="86"/>
      <c r="K659" s="86"/>
      <c r="L659" s="86"/>
      <c r="M659" s="86"/>
      <c r="N659" s="86"/>
      <c r="O659" s="86"/>
    </row>
    <row r="660">
      <c r="C660" s="99"/>
      <c r="D660" s="100"/>
      <c r="H660" s="86"/>
      <c r="I660" s="86"/>
      <c r="J660" s="86"/>
      <c r="K660" s="86"/>
      <c r="L660" s="86"/>
      <c r="M660" s="86"/>
      <c r="N660" s="86"/>
      <c r="O660" s="86"/>
    </row>
    <row r="661">
      <c r="C661" s="99"/>
      <c r="D661" s="100"/>
      <c r="H661" s="86"/>
      <c r="I661" s="86"/>
      <c r="J661" s="86"/>
      <c r="K661" s="86"/>
      <c r="L661" s="86"/>
      <c r="M661" s="86"/>
      <c r="N661" s="86"/>
      <c r="O661" s="86"/>
    </row>
    <row r="662">
      <c r="C662" s="99"/>
      <c r="D662" s="100"/>
      <c r="H662" s="86"/>
      <c r="I662" s="86"/>
      <c r="J662" s="86"/>
      <c r="K662" s="86"/>
      <c r="L662" s="86"/>
      <c r="M662" s="86"/>
      <c r="N662" s="86"/>
      <c r="O662" s="86"/>
    </row>
    <row r="663">
      <c r="C663" s="99"/>
      <c r="D663" s="100"/>
      <c r="H663" s="86"/>
      <c r="I663" s="86"/>
      <c r="J663" s="86"/>
      <c r="K663" s="86"/>
      <c r="L663" s="86"/>
      <c r="M663" s="86"/>
      <c r="N663" s="86"/>
      <c r="O663" s="86"/>
    </row>
    <row r="664">
      <c r="C664" s="99"/>
      <c r="D664" s="100"/>
      <c r="H664" s="86"/>
      <c r="I664" s="86"/>
      <c r="J664" s="86"/>
      <c r="K664" s="86"/>
      <c r="L664" s="86"/>
      <c r="M664" s="86"/>
      <c r="N664" s="86"/>
      <c r="O664" s="86"/>
    </row>
    <row r="665">
      <c r="C665" s="99"/>
      <c r="D665" s="100"/>
      <c r="H665" s="86"/>
      <c r="I665" s="86"/>
      <c r="J665" s="86"/>
      <c r="K665" s="86"/>
      <c r="L665" s="86"/>
      <c r="M665" s="86"/>
      <c r="N665" s="86"/>
      <c r="O665" s="86"/>
    </row>
    <row r="666">
      <c r="C666" s="99"/>
      <c r="D666" s="100"/>
      <c r="H666" s="86"/>
      <c r="I666" s="86"/>
      <c r="J666" s="86"/>
      <c r="K666" s="86"/>
      <c r="L666" s="86"/>
      <c r="M666" s="86"/>
      <c r="N666" s="86"/>
      <c r="O666" s="86"/>
    </row>
    <row r="667">
      <c r="C667" s="99"/>
      <c r="D667" s="100"/>
      <c r="H667" s="86"/>
      <c r="I667" s="86"/>
      <c r="J667" s="86"/>
      <c r="K667" s="86"/>
      <c r="L667" s="86"/>
      <c r="M667" s="86"/>
      <c r="N667" s="86"/>
      <c r="O667" s="86"/>
    </row>
    <row r="668">
      <c r="C668" s="99"/>
      <c r="D668" s="100"/>
      <c r="H668" s="86"/>
      <c r="I668" s="86"/>
      <c r="J668" s="86"/>
      <c r="K668" s="86"/>
      <c r="L668" s="86"/>
      <c r="M668" s="86"/>
      <c r="N668" s="86"/>
      <c r="O668" s="86"/>
    </row>
    <row r="669">
      <c r="C669" s="99"/>
      <c r="D669" s="100"/>
      <c r="H669" s="86"/>
      <c r="I669" s="86"/>
      <c r="J669" s="86"/>
      <c r="K669" s="86"/>
      <c r="L669" s="86"/>
      <c r="M669" s="86"/>
      <c r="N669" s="86"/>
      <c r="O669" s="86"/>
    </row>
    <row r="670">
      <c r="C670" s="99"/>
      <c r="D670" s="100"/>
      <c r="H670" s="86"/>
      <c r="I670" s="86"/>
      <c r="J670" s="86"/>
      <c r="K670" s="86"/>
      <c r="L670" s="86"/>
      <c r="M670" s="86"/>
      <c r="N670" s="86"/>
      <c r="O670" s="86"/>
    </row>
    <row r="671">
      <c r="C671" s="99"/>
      <c r="D671" s="100"/>
      <c r="H671" s="86"/>
      <c r="I671" s="86"/>
      <c r="J671" s="86"/>
      <c r="K671" s="86"/>
      <c r="L671" s="86"/>
      <c r="M671" s="86"/>
      <c r="N671" s="86"/>
      <c r="O671" s="86"/>
    </row>
    <row r="672">
      <c r="C672" s="99"/>
      <c r="D672" s="100"/>
      <c r="H672" s="86"/>
      <c r="I672" s="86"/>
      <c r="J672" s="86"/>
      <c r="K672" s="86"/>
      <c r="L672" s="86"/>
      <c r="M672" s="86"/>
      <c r="N672" s="86"/>
      <c r="O672" s="86"/>
    </row>
    <row r="673">
      <c r="C673" s="99"/>
      <c r="D673" s="100"/>
      <c r="H673" s="86"/>
      <c r="I673" s="86"/>
      <c r="J673" s="86"/>
      <c r="K673" s="86"/>
      <c r="L673" s="86"/>
      <c r="M673" s="86"/>
      <c r="N673" s="86"/>
      <c r="O673" s="86"/>
    </row>
    <row r="674">
      <c r="C674" s="99"/>
      <c r="D674" s="100"/>
      <c r="H674" s="86"/>
      <c r="I674" s="86"/>
      <c r="J674" s="86"/>
      <c r="K674" s="86"/>
      <c r="L674" s="86"/>
      <c r="M674" s="86"/>
      <c r="N674" s="86"/>
      <c r="O674" s="86"/>
    </row>
    <row r="675">
      <c r="C675" s="99"/>
      <c r="D675" s="100"/>
      <c r="H675" s="86"/>
      <c r="I675" s="86"/>
      <c r="J675" s="86"/>
      <c r="K675" s="86"/>
      <c r="L675" s="86"/>
      <c r="M675" s="86"/>
      <c r="N675" s="86"/>
      <c r="O675" s="86"/>
    </row>
    <row r="676">
      <c r="C676" s="99"/>
      <c r="D676" s="100"/>
      <c r="H676" s="86"/>
      <c r="I676" s="86"/>
      <c r="J676" s="86"/>
      <c r="K676" s="86"/>
      <c r="L676" s="86"/>
      <c r="M676" s="86"/>
      <c r="N676" s="86"/>
      <c r="O676" s="86"/>
    </row>
    <row r="677">
      <c r="C677" s="99"/>
      <c r="D677" s="100"/>
      <c r="H677" s="86"/>
      <c r="I677" s="86"/>
      <c r="J677" s="86"/>
      <c r="K677" s="86"/>
      <c r="L677" s="86"/>
      <c r="M677" s="86"/>
      <c r="N677" s="86"/>
      <c r="O677" s="86"/>
    </row>
    <row r="678">
      <c r="C678" s="99"/>
      <c r="D678" s="100"/>
      <c r="H678" s="86"/>
      <c r="I678" s="86"/>
      <c r="J678" s="86"/>
      <c r="K678" s="86"/>
      <c r="L678" s="86"/>
      <c r="M678" s="86"/>
      <c r="N678" s="86"/>
      <c r="O678" s="86"/>
    </row>
    <row r="679">
      <c r="C679" s="99"/>
      <c r="D679" s="100"/>
      <c r="H679" s="86"/>
      <c r="I679" s="86"/>
      <c r="J679" s="86"/>
      <c r="K679" s="86"/>
      <c r="L679" s="86"/>
      <c r="M679" s="86"/>
      <c r="N679" s="86"/>
      <c r="O679" s="86"/>
    </row>
    <row r="680">
      <c r="C680" s="99"/>
      <c r="D680" s="100"/>
      <c r="H680" s="86"/>
      <c r="I680" s="86"/>
      <c r="J680" s="86"/>
      <c r="K680" s="86"/>
      <c r="L680" s="86"/>
      <c r="M680" s="86"/>
      <c r="N680" s="86"/>
      <c r="O680" s="86"/>
    </row>
    <row r="681">
      <c r="C681" s="99"/>
      <c r="D681" s="100"/>
      <c r="H681" s="86"/>
      <c r="I681" s="86"/>
      <c r="J681" s="86"/>
      <c r="K681" s="86"/>
      <c r="L681" s="86"/>
      <c r="M681" s="86"/>
      <c r="N681" s="86"/>
      <c r="O681" s="86"/>
    </row>
    <row r="682">
      <c r="C682" s="99"/>
      <c r="D682" s="100"/>
      <c r="H682" s="86"/>
      <c r="I682" s="86"/>
      <c r="J682" s="86"/>
      <c r="K682" s="86"/>
      <c r="L682" s="86"/>
      <c r="M682" s="86"/>
      <c r="N682" s="86"/>
      <c r="O682" s="86"/>
    </row>
    <row r="683">
      <c r="C683" s="99"/>
      <c r="D683" s="100"/>
      <c r="H683" s="86"/>
      <c r="I683" s="86"/>
      <c r="J683" s="86"/>
      <c r="K683" s="86"/>
      <c r="L683" s="86"/>
      <c r="M683" s="86"/>
      <c r="N683" s="86"/>
      <c r="O683" s="86"/>
    </row>
    <row r="684">
      <c r="C684" s="99"/>
      <c r="D684" s="100"/>
      <c r="H684" s="86"/>
      <c r="I684" s="86"/>
      <c r="J684" s="86"/>
      <c r="K684" s="86"/>
      <c r="L684" s="86"/>
      <c r="M684" s="86"/>
      <c r="N684" s="86"/>
      <c r="O684" s="86"/>
    </row>
    <row r="685">
      <c r="C685" s="99"/>
      <c r="D685" s="100"/>
      <c r="H685" s="86"/>
      <c r="I685" s="86"/>
      <c r="J685" s="86"/>
      <c r="K685" s="86"/>
      <c r="L685" s="86"/>
      <c r="M685" s="86"/>
      <c r="N685" s="86"/>
      <c r="O685" s="86"/>
    </row>
    <row r="686">
      <c r="C686" s="99"/>
      <c r="D686" s="100"/>
      <c r="H686" s="86"/>
      <c r="I686" s="86"/>
      <c r="J686" s="86"/>
      <c r="K686" s="86"/>
      <c r="L686" s="86"/>
      <c r="M686" s="86"/>
      <c r="N686" s="86"/>
      <c r="O686" s="86"/>
    </row>
    <row r="687">
      <c r="C687" s="99"/>
      <c r="D687" s="100"/>
      <c r="H687" s="86"/>
      <c r="I687" s="86"/>
      <c r="J687" s="86"/>
      <c r="K687" s="86"/>
      <c r="L687" s="86"/>
      <c r="M687" s="86"/>
      <c r="N687" s="86"/>
      <c r="O687" s="86"/>
    </row>
    <row r="688">
      <c r="C688" s="99"/>
      <c r="D688" s="100"/>
      <c r="H688" s="86"/>
      <c r="I688" s="86"/>
      <c r="J688" s="86"/>
      <c r="K688" s="86"/>
      <c r="L688" s="86"/>
      <c r="M688" s="86"/>
      <c r="N688" s="86"/>
      <c r="O688" s="86"/>
    </row>
    <row r="689">
      <c r="C689" s="99"/>
      <c r="D689" s="100"/>
      <c r="H689" s="86"/>
      <c r="I689" s="86"/>
      <c r="J689" s="86"/>
      <c r="K689" s="86"/>
      <c r="L689" s="86"/>
      <c r="M689" s="86"/>
      <c r="N689" s="86"/>
      <c r="O689" s="86"/>
    </row>
    <row r="690">
      <c r="C690" s="99"/>
      <c r="D690" s="100"/>
      <c r="H690" s="86"/>
      <c r="I690" s="86"/>
      <c r="J690" s="86"/>
      <c r="K690" s="86"/>
      <c r="L690" s="86"/>
      <c r="M690" s="86"/>
      <c r="N690" s="86"/>
      <c r="O690" s="86"/>
    </row>
    <row r="691">
      <c r="C691" s="99"/>
      <c r="D691" s="100"/>
      <c r="H691" s="86"/>
      <c r="I691" s="86"/>
      <c r="J691" s="86"/>
      <c r="K691" s="86"/>
      <c r="L691" s="86"/>
      <c r="M691" s="86"/>
      <c r="N691" s="86"/>
      <c r="O691" s="86"/>
    </row>
    <row r="692">
      <c r="C692" s="99"/>
      <c r="D692" s="100"/>
      <c r="H692" s="86"/>
      <c r="I692" s="86"/>
      <c r="J692" s="86"/>
      <c r="K692" s="86"/>
      <c r="L692" s="86"/>
      <c r="M692" s="86"/>
      <c r="N692" s="86"/>
      <c r="O692" s="86"/>
    </row>
    <row r="693">
      <c r="C693" s="99"/>
      <c r="D693" s="100"/>
      <c r="H693" s="86"/>
      <c r="I693" s="86"/>
      <c r="J693" s="86"/>
      <c r="K693" s="86"/>
      <c r="L693" s="86"/>
      <c r="M693" s="86"/>
      <c r="N693" s="86"/>
      <c r="O693" s="86"/>
    </row>
    <row r="694">
      <c r="C694" s="99"/>
      <c r="D694" s="100"/>
      <c r="H694" s="86"/>
      <c r="I694" s="86"/>
      <c r="J694" s="86"/>
      <c r="K694" s="86"/>
      <c r="L694" s="86"/>
      <c r="M694" s="86"/>
      <c r="N694" s="86"/>
      <c r="O694" s="86"/>
    </row>
    <row r="695">
      <c r="C695" s="99"/>
      <c r="D695" s="100"/>
      <c r="H695" s="86"/>
      <c r="I695" s="86"/>
      <c r="J695" s="86"/>
      <c r="K695" s="86"/>
      <c r="L695" s="86"/>
      <c r="M695" s="86"/>
      <c r="N695" s="86"/>
      <c r="O695" s="86"/>
    </row>
    <row r="696">
      <c r="C696" s="99"/>
      <c r="D696" s="100"/>
      <c r="H696" s="86"/>
      <c r="I696" s="86"/>
      <c r="J696" s="86"/>
      <c r="K696" s="86"/>
      <c r="L696" s="86"/>
      <c r="M696" s="86"/>
      <c r="N696" s="86"/>
      <c r="O696" s="86"/>
    </row>
    <row r="697">
      <c r="C697" s="99"/>
      <c r="D697" s="100"/>
      <c r="H697" s="86"/>
      <c r="I697" s="86"/>
      <c r="J697" s="86"/>
      <c r="K697" s="86"/>
      <c r="L697" s="86"/>
      <c r="M697" s="86"/>
      <c r="N697" s="86"/>
      <c r="O697" s="86"/>
    </row>
    <row r="698">
      <c r="C698" s="99"/>
      <c r="D698" s="100"/>
      <c r="H698" s="86"/>
      <c r="I698" s="86"/>
      <c r="J698" s="86"/>
      <c r="K698" s="86"/>
      <c r="L698" s="86"/>
      <c r="M698" s="86"/>
      <c r="N698" s="86"/>
      <c r="O698" s="86"/>
    </row>
    <row r="699">
      <c r="C699" s="99"/>
      <c r="D699" s="100"/>
      <c r="H699" s="86"/>
      <c r="I699" s="86"/>
      <c r="J699" s="86"/>
      <c r="K699" s="86"/>
      <c r="L699" s="86"/>
      <c r="M699" s="86"/>
      <c r="N699" s="86"/>
      <c r="O699" s="86"/>
    </row>
    <row r="700">
      <c r="C700" s="99"/>
      <c r="D700" s="100"/>
      <c r="H700" s="86"/>
      <c r="I700" s="86"/>
      <c r="J700" s="86"/>
      <c r="K700" s="86"/>
      <c r="L700" s="86"/>
      <c r="M700" s="86"/>
      <c r="N700" s="86"/>
      <c r="O700" s="86"/>
    </row>
    <row r="701">
      <c r="C701" s="99"/>
      <c r="D701" s="100"/>
      <c r="H701" s="86"/>
      <c r="I701" s="86"/>
      <c r="J701" s="86"/>
      <c r="K701" s="86"/>
      <c r="L701" s="86"/>
      <c r="M701" s="86"/>
      <c r="N701" s="86"/>
      <c r="O701" s="86"/>
    </row>
    <row r="702">
      <c r="C702" s="99"/>
      <c r="D702" s="100"/>
      <c r="H702" s="86"/>
      <c r="I702" s="86"/>
      <c r="J702" s="86"/>
      <c r="K702" s="86"/>
      <c r="L702" s="86"/>
      <c r="M702" s="86"/>
      <c r="N702" s="86"/>
      <c r="O702" s="86"/>
    </row>
    <row r="703">
      <c r="C703" s="99"/>
      <c r="D703" s="100"/>
      <c r="H703" s="86"/>
      <c r="I703" s="86"/>
      <c r="J703" s="86"/>
      <c r="K703" s="86"/>
      <c r="L703" s="86"/>
      <c r="M703" s="86"/>
      <c r="N703" s="86"/>
      <c r="O703" s="86"/>
    </row>
    <row r="704">
      <c r="C704" s="99"/>
      <c r="D704" s="100"/>
      <c r="H704" s="86"/>
      <c r="I704" s="86"/>
      <c r="J704" s="86"/>
      <c r="K704" s="86"/>
      <c r="L704" s="86"/>
      <c r="M704" s="86"/>
      <c r="N704" s="86"/>
      <c r="O704" s="86"/>
    </row>
    <row r="705">
      <c r="C705" s="99"/>
      <c r="D705" s="100"/>
      <c r="H705" s="86"/>
      <c r="I705" s="86"/>
      <c r="J705" s="86"/>
      <c r="K705" s="86"/>
      <c r="L705" s="86"/>
      <c r="M705" s="86"/>
      <c r="N705" s="86"/>
      <c r="O705" s="86"/>
    </row>
    <row r="706">
      <c r="C706" s="99"/>
      <c r="D706" s="100"/>
      <c r="H706" s="86"/>
      <c r="I706" s="86"/>
      <c r="J706" s="86"/>
      <c r="K706" s="86"/>
      <c r="L706" s="86"/>
      <c r="M706" s="86"/>
      <c r="N706" s="86"/>
      <c r="O706" s="86"/>
    </row>
    <row r="707">
      <c r="C707" s="99"/>
      <c r="D707" s="100"/>
      <c r="H707" s="86"/>
      <c r="I707" s="86"/>
      <c r="J707" s="86"/>
      <c r="K707" s="86"/>
      <c r="L707" s="86"/>
      <c r="M707" s="86"/>
      <c r="N707" s="86"/>
      <c r="O707" s="86"/>
    </row>
    <row r="708">
      <c r="C708" s="99"/>
      <c r="D708" s="100"/>
      <c r="H708" s="86"/>
      <c r="I708" s="86"/>
      <c r="J708" s="86"/>
      <c r="K708" s="86"/>
      <c r="L708" s="86"/>
      <c r="M708" s="86"/>
      <c r="N708" s="86"/>
      <c r="O708" s="86"/>
    </row>
    <row r="709">
      <c r="C709" s="99"/>
      <c r="D709" s="100"/>
      <c r="H709" s="86"/>
      <c r="I709" s="86"/>
      <c r="J709" s="86"/>
      <c r="K709" s="86"/>
      <c r="L709" s="86"/>
      <c r="M709" s="86"/>
      <c r="N709" s="86"/>
      <c r="O709" s="86"/>
    </row>
    <row r="710">
      <c r="C710" s="99"/>
      <c r="D710" s="100"/>
      <c r="H710" s="86"/>
      <c r="I710" s="86"/>
      <c r="J710" s="86"/>
      <c r="K710" s="86"/>
      <c r="L710" s="86"/>
      <c r="M710" s="86"/>
      <c r="N710" s="86"/>
      <c r="O710" s="86"/>
    </row>
    <row r="711">
      <c r="C711" s="99"/>
      <c r="D711" s="100"/>
      <c r="H711" s="86"/>
      <c r="I711" s="86"/>
      <c r="J711" s="86"/>
      <c r="K711" s="86"/>
      <c r="L711" s="86"/>
      <c r="M711" s="86"/>
      <c r="N711" s="86"/>
      <c r="O711" s="86"/>
    </row>
    <row r="712">
      <c r="C712" s="99"/>
      <c r="D712" s="100"/>
      <c r="H712" s="86"/>
      <c r="I712" s="86"/>
      <c r="J712" s="86"/>
      <c r="K712" s="86"/>
      <c r="L712" s="86"/>
      <c r="M712" s="86"/>
      <c r="N712" s="86"/>
      <c r="O712" s="86"/>
    </row>
    <row r="713">
      <c r="C713" s="99"/>
      <c r="D713" s="100"/>
      <c r="H713" s="86"/>
      <c r="I713" s="86"/>
      <c r="J713" s="86"/>
      <c r="K713" s="86"/>
      <c r="L713" s="86"/>
      <c r="M713" s="86"/>
      <c r="N713" s="86"/>
      <c r="O713" s="86"/>
    </row>
    <row r="714">
      <c r="C714" s="99"/>
      <c r="D714" s="100"/>
      <c r="H714" s="86"/>
      <c r="I714" s="86"/>
      <c r="J714" s="86"/>
      <c r="K714" s="86"/>
      <c r="L714" s="86"/>
      <c r="M714" s="86"/>
      <c r="N714" s="86"/>
      <c r="O714" s="86"/>
    </row>
    <row r="715">
      <c r="C715" s="99"/>
      <c r="D715" s="100"/>
      <c r="H715" s="86"/>
      <c r="I715" s="86"/>
      <c r="J715" s="86"/>
      <c r="K715" s="86"/>
      <c r="L715" s="86"/>
      <c r="M715" s="86"/>
      <c r="N715" s="86"/>
      <c r="O715" s="86"/>
    </row>
    <row r="716">
      <c r="C716" s="99"/>
      <c r="D716" s="100"/>
      <c r="H716" s="86"/>
      <c r="I716" s="86"/>
      <c r="J716" s="86"/>
      <c r="K716" s="86"/>
      <c r="L716" s="86"/>
      <c r="M716" s="86"/>
      <c r="N716" s="86"/>
      <c r="O716" s="86"/>
    </row>
    <row r="717">
      <c r="C717" s="99"/>
      <c r="D717" s="100"/>
      <c r="H717" s="86"/>
      <c r="I717" s="86"/>
      <c r="J717" s="86"/>
      <c r="K717" s="86"/>
      <c r="L717" s="86"/>
      <c r="M717" s="86"/>
      <c r="N717" s="86"/>
      <c r="O717" s="86"/>
    </row>
    <row r="718">
      <c r="C718" s="99"/>
      <c r="D718" s="100"/>
      <c r="H718" s="86"/>
      <c r="I718" s="86"/>
      <c r="J718" s="86"/>
      <c r="K718" s="86"/>
      <c r="L718" s="86"/>
      <c r="M718" s="86"/>
      <c r="N718" s="86"/>
      <c r="O718" s="86"/>
    </row>
    <row r="719">
      <c r="C719" s="99"/>
      <c r="D719" s="100"/>
      <c r="H719" s="86"/>
      <c r="I719" s="86"/>
      <c r="J719" s="86"/>
      <c r="K719" s="86"/>
      <c r="L719" s="86"/>
      <c r="M719" s="86"/>
      <c r="N719" s="86"/>
      <c r="O719" s="86"/>
    </row>
    <row r="720">
      <c r="C720" s="99"/>
      <c r="D720" s="100"/>
      <c r="H720" s="86"/>
      <c r="I720" s="86"/>
      <c r="J720" s="86"/>
      <c r="K720" s="86"/>
      <c r="L720" s="86"/>
      <c r="M720" s="86"/>
      <c r="N720" s="86"/>
      <c r="O720" s="86"/>
    </row>
    <row r="721">
      <c r="C721" s="99"/>
      <c r="D721" s="100"/>
      <c r="H721" s="86"/>
      <c r="I721" s="86"/>
      <c r="J721" s="86"/>
      <c r="K721" s="86"/>
      <c r="L721" s="86"/>
      <c r="M721" s="86"/>
      <c r="N721" s="86"/>
      <c r="O721" s="86"/>
    </row>
    <row r="722">
      <c r="C722" s="99"/>
      <c r="D722" s="100"/>
      <c r="H722" s="86"/>
      <c r="I722" s="86"/>
      <c r="J722" s="86"/>
      <c r="K722" s="86"/>
      <c r="L722" s="86"/>
      <c r="M722" s="86"/>
      <c r="N722" s="86"/>
      <c r="O722" s="86"/>
    </row>
    <row r="723">
      <c r="C723" s="99"/>
      <c r="D723" s="100"/>
      <c r="H723" s="86"/>
      <c r="I723" s="86"/>
      <c r="J723" s="86"/>
      <c r="K723" s="86"/>
      <c r="L723" s="86"/>
      <c r="M723" s="86"/>
      <c r="N723" s="86"/>
      <c r="O723" s="86"/>
    </row>
    <row r="724">
      <c r="C724" s="99"/>
      <c r="D724" s="100"/>
      <c r="H724" s="86"/>
      <c r="I724" s="86"/>
      <c r="J724" s="86"/>
      <c r="K724" s="86"/>
      <c r="L724" s="86"/>
      <c r="M724" s="86"/>
      <c r="N724" s="86"/>
      <c r="O724" s="86"/>
    </row>
    <row r="725">
      <c r="C725" s="99"/>
      <c r="D725" s="100"/>
      <c r="H725" s="86"/>
      <c r="I725" s="86"/>
      <c r="J725" s="86"/>
      <c r="K725" s="86"/>
      <c r="L725" s="86"/>
      <c r="M725" s="86"/>
      <c r="N725" s="86"/>
      <c r="O725" s="86"/>
    </row>
    <row r="726">
      <c r="C726" s="99"/>
      <c r="D726" s="100"/>
      <c r="H726" s="86"/>
      <c r="I726" s="86"/>
      <c r="J726" s="86"/>
      <c r="K726" s="86"/>
      <c r="L726" s="86"/>
      <c r="M726" s="86"/>
      <c r="N726" s="86"/>
      <c r="O726" s="86"/>
    </row>
    <row r="727">
      <c r="C727" s="99"/>
      <c r="D727" s="100"/>
      <c r="H727" s="86"/>
      <c r="I727" s="86"/>
      <c r="J727" s="86"/>
      <c r="K727" s="86"/>
      <c r="L727" s="86"/>
      <c r="M727" s="86"/>
      <c r="N727" s="86"/>
      <c r="O727" s="86"/>
    </row>
    <row r="728">
      <c r="C728" s="99"/>
      <c r="D728" s="100"/>
      <c r="H728" s="86"/>
      <c r="I728" s="86"/>
      <c r="J728" s="86"/>
      <c r="K728" s="86"/>
      <c r="L728" s="86"/>
      <c r="M728" s="86"/>
      <c r="N728" s="86"/>
      <c r="O728" s="86"/>
    </row>
    <row r="729">
      <c r="C729" s="99"/>
      <c r="D729" s="100"/>
      <c r="H729" s="86"/>
      <c r="I729" s="86"/>
      <c r="J729" s="86"/>
      <c r="K729" s="86"/>
      <c r="L729" s="86"/>
      <c r="M729" s="86"/>
      <c r="N729" s="86"/>
      <c r="O729" s="86"/>
    </row>
    <row r="730">
      <c r="C730" s="99"/>
      <c r="D730" s="100"/>
      <c r="H730" s="86"/>
      <c r="I730" s="86"/>
      <c r="J730" s="86"/>
      <c r="K730" s="86"/>
      <c r="L730" s="86"/>
      <c r="M730" s="86"/>
      <c r="N730" s="86"/>
      <c r="O730" s="86"/>
    </row>
    <row r="731">
      <c r="C731" s="99"/>
      <c r="D731" s="100"/>
      <c r="H731" s="86"/>
      <c r="I731" s="86"/>
      <c r="J731" s="86"/>
      <c r="K731" s="86"/>
      <c r="L731" s="86"/>
      <c r="M731" s="86"/>
      <c r="N731" s="86"/>
      <c r="O731" s="86"/>
    </row>
    <row r="732">
      <c r="C732" s="99"/>
      <c r="D732" s="100"/>
      <c r="H732" s="86"/>
      <c r="I732" s="86"/>
      <c r="J732" s="86"/>
      <c r="K732" s="86"/>
      <c r="L732" s="86"/>
      <c r="M732" s="86"/>
      <c r="N732" s="86"/>
      <c r="O732" s="86"/>
    </row>
    <row r="733">
      <c r="C733" s="99"/>
      <c r="D733" s="100"/>
      <c r="H733" s="86"/>
      <c r="I733" s="86"/>
      <c r="J733" s="86"/>
      <c r="K733" s="86"/>
      <c r="L733" s="86"/>
      <c r="M733" s="86"/>
      <c r="N733" s="86"/>
      <c r="O733" s="86"/>
    </row>
    <row r="734">
      <c r="C734" s="99"/>
      <c r="D734" s="100"/>
      <c r="H734" s="86"/>
      <c r="I734" s="86"/>
      <c r="J734" s="86"/>
      <c r="K734" s="86"/>
      <c r="L734" s="86"/>
      <c r="M734" s="86"/>
      <c r="N734" s="86"/>
      <c r="O734" s="86"/>
    </row>
    <row r="735">
      <c r="C735" s="99"/>
      <c r="D735" s="100"/>
      <c r="H735" s="86"/>
      <c r="I735" s="86"/>
      <c r="J735" s="86"/>
      <c r="K735" s="86"/>
      <c r="L735" s="86"/>
      <c r="M735" s="86"/>
      <c r="N735" s="86"/>
      <c r="O735" s="86"/>
    </row>
    <row r="736">
      <c r="C736" s="99"/>
      <c r="D736" s="100"/>
      <c r="H736" s="86"/>
      <c r="I736" s="86"/>
      <c r="J736" s="86"/>
      <c r="K736" s="86"/>
      <c r="L736" s="86"/>
      <c r="M736" s="86"/>
      <c r="N736" s="86"/>
      <c r="O736" s="86"/>
    </row>
    <row r="737">
      <c r="C737" s="99"/>
      <c r="D737" s="100"/>
      <c r="H737" s="86"/>
      <c r="I737" s="86"/>
      <c r="J737" s="86"/>
      <c r="K737" s="86"/>
      <c r="L737" s="86"/>
      <c r="M737" s="86"/>
      <c r="N737" s="86"/>
      <c r="O737" s="86"/>
    </row>
    <row r="738">
      <c r="C738" s="99"/>
      <c r="D738" s="100"/>
      <c r="H738" s="86"/>
      <c r="I738" s="86"/>
      <c r="J738" s="86"/>
      <c r="K738" s="86"/>
      <c r="L738" s="86"/>
      <c r="M738" s="86"/>
      <c r="N738" s="86"/>
      <c r="O738" s="86"/>
    </row>
    <row r="739">
      <c r="C739" s="99"/>
      <c r="D739" s="100"/>
      <c r="H739" s="86"/>
      <c r="I739" s="86"/>
      <c r="J739" s="86"/>
      <c r="K739" s="86"/>
      <c r="L739" s="86"/>
      <c r="M739" s="86"/>
      <c r="N739" s="86"/>
      <c r="O739" s="86"/>
    </row>
    <row r="740">
      <c r="C740" s="99"/>
      <c r="D740" s="100"/>
      <c r="H740" s="86"/>
      <c r="I740" s="86"/>
      <c r="J740" s="86"/>
      <c r="K740" s="86"/>
      <c r="L740" s="86"/>
      <c r="M740" s="86"/>
      <c r="N740" s="86"/>
      <c r="O740" s="86"/>
    </row>
    <row r="741">
      <c r="C741" s="99"/>
      <c r="D741" s="100"/>
      <c r="H741" s="86"/>
      <c r="I741" s="86"/>
      <c r="J741" s="86"/>
      <c r="K741" s="86"/>
      <c r="L741" s="86"/>
      <c r="M741" s="86"/>
      <c r="N741" s="86"/>
      <c r="O741" s="86"/>
    </row>
    <row r="742">
      <c r="C742" s="99"/>
      <c r="D742" s="100"/>
      <c r="H742" s="86"/>
      <c r="I742" s="86"/>
      <c r="J742" s="86"/>
      <c r="K742" s="86"/>
      <c r="L742" s="86"/>
      <c r="M742" s="86"/>
      <c r="N742" s="86"/>
      <c r="O742" s="86"/>
    </row>
    <row r="743">
      <c r="C743" s="99"/>
      <c r="D743" s="100"/>
      <c r="H743" s="86"/>
      <c r="I743" s="86"/>
      <c r="J743" s="86"/>
      <c r="K743" s="86"/>
      <c r="L743" s="86"/>
      <c r="M743" s="86"/>
      <c r="N743" s="86"/>
      <c r="O743" s="86"/>
    </row>
    <row r="744">
      <c r="C744" s="99"/>
      <c r="D744" s="100"/>
      <c r="H744" s="86"/>
      <c r="I744" s="86"/>
      <c r="J744" s="86"/>
      <c r="K744" s="86"/>
      <c r="L744" s="86"/>
      <c r="M744" s="86"/>
      <c r="N744" s="86"/>
      <c r="O744" s="86"/>
    </row>
    <row r="745">
      <c r="C745" s="99"/>
      <c r="D745" s="100"/>
      <c r="H745" s="86"/>
      <c r="I745" s="86"/>
      <c r="J745" s="86"/>
      <c r="K745" s="86"/>
      <c r="L745" s="86"/>
      <c r="M745" s="86"/>
      <c r="N745" s="86"/>
      <c r="O745" s="86"/>
    </row>
    <row r="746">
      <c r="C746" s="99"/>
      <c r="D746" s="100"/>
      <c r="H746" s="86"/>
      <c r="I746" s="86"/>
      <c r="J746" s="86"/>
      <c r="K746" s="86"/>
      <c r="L746" s="86"/>
      <c r="M746" s="86"/>
      <c r="N746" s="86"/>
      <c r="O746" s="86"/>
    </row>
    <row r="747">
      <c r="C747" s="99"/>
      <c r="D747" s="100"/>
      <c r="H747" s="86"/>
      <c r="I747" s="86"/>
      <c r="J747" s="86"/>
      <c r="K747" s="86"/>
      <c r="L747" s="86"/>
      <c r="M747" s="86"/>
      <c r="N747" s="86"/>
      <c r="O747" s="86"/>
    </row>
    <row r="748">
      <c r="C748" s="99"/>
      <c r="D748" s="100"/>
      <c r="H748" s="86"/>
      <c r="I748" s="86"/>
      <c r="J748" s="86"/>
      <c r="K748" s="86"/>
      <c r="L748" s="86"/>
      <c r="M748" s="86"/>
      <c r="N748" s="86"/>
      <c r="O748" s="86"/>
    </row>
    <row r="749">
      <c r="C749" s="99"/>
      <c r="D749" s="100"/>
      <c r="H749" s="86"/>
      <c r="I749" s="86"/>
      <c r="J749" s="86"/>
      <c r="K749" s="86"/>
      <c r="L749" s="86"/>
      <c r="M749" s="86"/>
      <c r="N749" s="86"/>
      <c r="O749" s="86"/>
    </row>
    <row r="750">
      <c r="C750" s="99"/>
      <c r="D750" s="100"/>
      <c r="H750" s="86"/>
      <c r="I750" s="86"/>
      <c r="J750" s="86"/>
      <c r="K750" s="86"/>
      <c r="L750" s="86"/>
      <c r="M750" s="86"/>
      <c r="N750" s="86"/>
      <c r="O750" s="86"/>
    </row>
    <row r="751">
      <c r="C751" s="99"/>
      <c r="D751" s="100"/>
      <c r="H751" s="86"/>
      <c r="I751" s="86"/>
      <c r="J751" s="86"/>
      <c r="K751" s="86"/>
      <c r="L751" s="86"/>
      <c r="M751" s="86"/>
      <c r="N751" s="86"/>
      <c r="O751" s="86"/>
    </row>
    <row r="752">
      <c r="C752" s="99"/>
      <c r="D752" s="100"/>
      <c r="H752" s="86"/>
      <c r="I752" s="86"/>
      <c r="J752" s="86"/>
      <c r="K752" s="86"/>
      <c r="L752" s="86"/>
      <c r="M752" s="86"/>
      <c r="N752" s="86"/>
      <c r="O752" s="86"/>
    </row>
    <row r="753">
      <c r="C753" s="99"/>
      <c r="D753" s="100"/>
      <c r="H753" s="86"/>
      <c r="I753" s="86"/>
      <c r="J753" s="86"/>
      <c r="K753" s="86"/>
      <c r="L753" s="86"/>
      <c r="M753" s="86"/>
      <c r="N753" s="86"/>
      <c r="O753" s="86"/>
    </row>
    <row r="754">
      <c r="C754" s="99"/>
      <c r="D754" s="100"/>
      <c r="H754" s="86"/>
      <c r="I754" s="86"/>
      <c r="J754" s="86"/>
      <c r="K754" s="86"/>
      <c r="L754" s="86"/>
      <c r="M754" s="86"/>
      <c r="N754" s="86"/>
      <c r="O754" s="86"/>
    </row>
    <row r="755">
      <c r="C755" s="99"/>
      <c r="D755" s="100"/>
      <c r="H755" s="86"/>
      <c r="I755" s="86"/>
      <c r="J755" s="86"/>
      <c r="K755" s="86"/>
      <c r="L755" s="86"/>
      <c r="M755" s="86"/>
      <c r="N755" s="86"/>
      <c r="O755" s="86"/>
    </row>
    <row r="756">
      <c r="C756" s="99"/>
      <c r="D756" s="100"/>
      <c r="H756" s="86"/>
      <c r="I756" s="86"/>
      <c r="J756" s="86"/>
      <c r="K756" s="86"/>
      <c r="L756" s="86"/>
      <c r="M756" s="86"/>
      <c r="N756" s="86"/>
      <c r="O756" s="86"/>
    </row>
    <row r="757">
      <c r="C757" s="99"/>
      <c r="D757" s="100"/>
      <c r="H757" s="86"/>
      <c r="I757" s="86"/>
      <c r="J757" s="86"/>
      <c r="K757" s="86"/>
      <c r="L757" s="86"/>
      <c r="M757" s="86"/>
      <c r="N757" s="86"/>
      <c r="O757" s="86"/>
    </row>
    <row r="758">
      <c r="C758" s="99"/>
      <c r="D758" s="100"/>
      <c r="H758" s="86"/>
      <c r="I758" s="86"/>
      <c r="J758" s="86"/>
      <c r="K758" s="86"/>
      <c r="L758" s="86"/>
      <c r="M758" s="86"/>
      <c r="N758" s="86"/>
      <c r="O758" s="86"/>
    </row>
    <row r="759">
      <c r="C759" s="99"/>
      <c r="D759" s="100"/>
      <c r="H759" s="86"/>
      <c r="I759" s="86"/>
      <c r="J759" s="86"/>
      <c r="K759" s="86"/>
      <c r="L759" s="86"/>
      <c r="M759" s="86"/>
      <c r="N759" s="86"/>
      <c r="O759" s="86"/>
    </row>
    <row r="760">
      <c r="C760" s="99"/>
      <c r="D760" s="100"/>
      <c r="H760" s="86"/>
      <c r="I760" s="86"/>
      <c r="J760" s="86"/>
      <c r="K760" s="86"/>
      <c r="L760" s="86"/>
      <c r="M760" s="86"/>
      <c r="N760" s="86"/>
      <c r="O760" s="86"/>
    </row>
    <row r="761">
      <c r="C761" s="99"/>
      <c r="D761" s="100"/>
      <c r="H761" s="86"/>
      <c r="I761" s="86"/>
      <c r="J761" s="86"/>
      <c r="K761" s="86"/>
      <c r="L761" s="86"/>
      <c r="M761" s="86"/>
      <c r="N761" s="86"/>
      <c r="O761" s="86"/>
    </row>
    <row r="762">
      <c r="C762" s="99"/>
      <c r="D762" s="100"/>
      <c r="H762" s="86"/>
      <c r="I762" s="86"/>
      <c r="J762" s="86"/>
      <c r="K762" s="86"/>
      <c r="L762" s="86"/>
      <c r="M762" s="86"/>
      <c r="N762" s="86"/>
      <c r="O762" s="86"/>
    </row>
    <row r="763">
      <c r="C763" s="99"/>
      <c r="D763" s="100"/>
      <c r="H763" s="86"/>
      <c r="I763" s="86"/>
      <c r="J763" s="86"/>
      <c r="K763" s="86"/>
      <c r="L763" s="86"/>
      <c r="M763" s="86"/>
      <c r="N763" s="86"/>
      <c r="O763" s="86"/>
    </row>
    <row r="764">
      <c r="C764" s="99"/>
      <c r="D764" s="100"/>
      <c r="H764" s="86"/>
      <c r="I764" s="86"/>
      <c r="J764" s="86"/>
      <c r="K764" s="86"/>
      <c r="L764" s="86"/>
      <c r="M764" s="86"/>
      <c r="N764" s="86"/>
      <c r="O764" s="86"/>
    </row>
    <row r="765">
      <c r="C765" s="99"/>
      <c r="D765" s="100"/>
      <c r="H765" s="86"/>
      <c r="I765" s="86"/>
      <c r="J765" s="86"/>
      <c r="K765" s="86"/>
      <c r="L765" s="86"/>
      <c r="M765" s="86"/>
      <c r="N765" s="86"/>
      <c r="O765" s="86"/>
    </row>
    <row r="766">
      <c r="C766" s="99"/>
      <c r="D766" s="100"/>
      <c r="H766" s="86"/>
      <c r="I766" s="86"/>
      <c r="J766" s="86"/>
      <c r="K766" s="86"/>
      <c r="L766" s="86"/>
      <c r="M766" s="86"/>
      <c r="N766" s="86"/>
      <c r="O766" s="86"/>
    </row>
    <row r="767">
      <c r="C767" s="99"/>
      <c r="D767" s="100"/>
      <c r="H767" s="86"/>
      <c r="I767" s="86"/>
      <c r="J767" s="86"/>
      <c r="K767" s="86"/>
      <c r="L767" s="86"/>
      <c r="M767" s="86"/>
      <c r="N767" s="86"/>
      <c r="O767" s="86"/>
    </row>
    <row r="768">
      <c r="C768" s="99"/>
      <c r="D768" s="100"/>
      <c r="H768" s="86"/>
      <c r="I768" s="86"/>
      <c r="J768" s="86"/>
      <c r="K768" s="86"/>
      <c r="L768" s="86"/>
      <c r="M768" s="86"/>
      <c r="N768" s="86"/>
      <c r="O768" s="86"/>
    </row>
    <row r="769">
      <c r="C769" s="99"/>
      <c r="D769" s="100"/>
      <c r="H769" s="86"/>
      <c r="I769" s="86"/>
      <c r="J769" s="86"/>
      <c r="K769" s="86"/>
      <c r="L769" s="86"/>
      <c r="M769" s="86"/>
      <c r="N769" s="86"/>
      <c r="O769" s="86"/>
    </row>
    <row r="770">
      <c r="C770" s="99"/>
      <c r="D770" s="100"/>
      <c r="H770" s="86"/>
      <c r="I770" s="86"/>
      <c r="J770" s="86"/>
      <c r="K770" s="86"/>
      <c r="L770" s="86"/>
      <c r="M770" s="86"/>
      <c r="N770" s="86"/>
      <c r="O770" s="86"/>
    </row>
    <row r="771">
      <c r="C771" s="99"/>
      <c r="D771" s="100"/>
      <c r="H771" s="86"/>
      <c r="I771" s="86"/>
      <c r="J771" s="86"/>
      <c r="K771" s="86"/>
      <c r="L771" s="86"/>
      <c r="M771" s="86"/>
      <c r="N771" s="86"/>
      <c r="O771" s="86"/>
    </row>
    <row r="772">
      <c r="C772" s="99"/>
      <c r="D772" s="100"/>
      <c r="H772" s="86"/>
      <c r="I772" s="86"/>
      <c r="J772" s="86"/>
      <c r="K772" s="86"/>
      <c r="L772" s="86"/>
      <c r="M772" s="86"/>
      <c r="N772" s="86"/>
      <c r="O772" s="86"/>
    </row>
    <row r="773">
      <c r="C773" s="99"/>
      <c r="D773" s="100"/>
      <c r="H773" s="86"/>
      <c r="I773" s="86"/>
      <c r="J773" s="86"/>
      <c r="K773" s="86"/>
      <c r="L773" s="86"/>
      <c r="M773" s="86"/>
      <c r="N773" s="86"/>
      <c r="O773" s="86"/>
    </row>
    <row r="774">
      <c r="C774" s="99"/>
      <c r="D774" s="100"/>
      <c r="H774" s="86"/>
      <c r="I774" s="86"/>
      <c r="J774" s="86"/>
      <c r="K774" s="86"/>
      <c r="L774" s="86"/>
      <c r="M774" s="86"/>
      <c r="N774" s="86"/>
      <c r="O774" s="86"/>
    </row>
    <row r="775">
      <c r="C775" s="99"/>
      <c r="D775" s="100"/>
      <c r="H775" s="86"/>
      <c r="I775" s="86"/>
      <c r="J775" s="86"/>
      <c r="K775" s="86"/>
      <c r="L775" s="86"/>
      <c r="M775" s="86"/>
      <c r="N775" s="86"/>
      <c r="O775" s="86"/>
    </row>
    <row r="776">
      <c r="C776" s="99"/>
      <c r="D776" s="100"/>
      <c r="H776" s="86"/>
      <c r="I776" s="86"/>
      <c r="J776" s="86"/>
      <c r="K776" s="86"/>
      <c r="L776" s="86"/>
      <c r="M776" s="86"/>
      <c r="N776" s="86"/>
      <c r="O776" s="86"/>
    </row>
    <row r="777">
      <c r="C777" s="99"/>
      <c r="D777" s="100"/>
      <c r="H777" s="86"/>
      <c r="I777" s="86"/>
      <c r="J777" s="86"/>
      <c r="K777" s="86"/>
      <c r="L777" s="86"/>
      <c r="M777" s="86"/>
      <c r="N777" s="86"/>
      <c r="O777" s="86"/>
    </row>
    <row r="778">
      <c r="C778" s="99"/>
      <c r="D778" s="100"/>
      <c r="H778" s="86"/>
      <c r="I778" s="86"/>
      <c r="J778" s="86"/>
      <c r="K778" s="86"/>
      <c r="L778" s="86"/>
      <c r="M778" s="86"/>
      <c r="N778" s="86"/>
      <c r="O778" s="86"/>
    </row>
    <row r="779">
      <c r="C779" s="99"/>
      <c r="D779" s="100"/>
      <c r="H779" s="86"/>
      <c r="I779" s="86"/>
      <c r="J779" s="86"/>
      <c r="K779" s="86"/>
      <c r="L779" s="86"/>
      <c r="M779" s="86"/>
      <c r="N779" s="86"/>
      <c r="O779" s="86"/>
    </row>
    <row r="780">
      <c r="C780" s="99"/>
      <c r="D780" s="100"/>
      <c r="H780" s="86"/>
      <c r="I780" s="86"/>
      <c r="J780" s="86"/>
      <c r="K780" s="86"/>
      <c r="L780" s="86"/>
      <c r="M780" s="86"/>
      <c r="N780" s="86"/>
      <c r="O780" s="86"/>
    </row>
    <row r="781">
      <c r="C781" s="99"/>
      <c r="D781" s="100"/>
      <c r="H781" s="86"/>
      <c r="I781" s="86"/>
      <c r="J781" s="86"/>
      <c r="K781" s="86"/>
      <c r="L781" s="86"/>
      <c r="M781" s="86"/>
      <c r="N781" s="86"/>
      <c r="O781" s="86"/>
    </row>
    <row r="782">
      <c r="C782" s="99"/>
      <c r="D782" s="100"/>
      <c r="H782" s="86"/>
      <c r="I782" s="86"/>
      <c r="J782" s="86"/>
      <c r="K782" s="86"/>
      <c r="L782" s="86"/>
      <c r="M782" s="86"/>
      <c r="N782" s="86"/>
      <c r="O782" s="86"/>
    </row>
    <row r="783">
      <c r="C783" s="99"/>
      <c r="D783" s="100"/>
      <c r="H783" s="86"/>
      <c r="I783" s="86"/>
      <c r="J783" s="86"/>
      <c r="K783" s="86"/>
      <c r="L783" s="86"/>
      <c r="M783" s="86"/>
      <c r="N783" s="86"/>
      <c r="O783" s="86"/>
    </row>
    <row r="784">
      <c r="C784" s="99"/>
      <c r="D784" s="100"/>
      <c r="H784" s="86"/>
      <c r="I784" s="86"/>
      <c r="J784" s="86"/>
      <c r="K784" s="86"/>
      <c r="L784" s="86"/>
      <c r="M784" s="86"/>
      <c r="N784" s="86"/>
      <c r="O784" s="86"/>
    </row>
    <row r="785">
      <c r="C785" s="99"/>
      <c r="D785" s="100"/>
      <c r="H785" s="86"/>
      <c r="I785" s="86"/>
      <c r="J785" s="86"/>
      <c r="K785" s="86"/>
      <c r="L785" s="86"/>
      <c r="M785" s="86"/>
      <c r="N785" s="86"/>
      <c r="O785" s="86"/>
    </row>
    <row r="786">
      <c r="C786" s="99"/>
      <c r="D786" s="100"/>
      <c r="H786" s="86"/>
      <c r="I786" s="86"/>
      <c r="J786" s="86"/>
      <c r="K786" s="86"/>
      <c r="L786" s="86"/>
      <c r="M786" s="86"/>
      <c r="N786" s="86"/>
      <c r="O786" s="86"/>
    </row>
    <row r="787">
      <c r="C787" s="99"/>
      <c r="D787" s="100"/>
      <c r="H787" s="86"/>
      <c r="I787" s="86"/>
      <c r="J787" s="86"/>
      <c r="K787" s="86"/>
      <c r="L787" s="86"/>
      <c r="M787" s="86"/>
      <c r="N787" s="86"/>
      <c r="O787" s="86"/>
    </row>
    <row r="788">
      <c r="C788" s="99"/>
      <c r="D788" s="100"/>
      <c r="H788" s="86"/>
      <c r="I788" s="86"/>
      <c r="J788" s="86"/>
      <c r="K788" s="86"/>
      <c r="L788" s="86"/>
      <c r="M788" s="86"/>
      <c r="N788" s="86"/>
      <c r="O788" s="86"/>
    </row>
    <row r="789">
      <c r="C789" s="99"/>
      <c r="D789" s="100"/>
      <c r="H789" s="86"/>
      <c r="I789" s="86"/>
      <c r="J789" s="86"/>
      <c r="K789" s="86"/>
      <c r="L789" s="86"/>
      <c r="M789" s="86"/>
      <c r="N789" s="86"/>
      <c r="O789" s="86"/>
    </row>
    <row r="790">
      <c r="C790" s="99"/>
      <c r="D790" s="100"/>
      <c r="H790" s="86"/>
      <c r="I790" s="86"/>
      <c r="J790" s="86"/>
      <c r="K790" s="86"/>
      <c r="L790" s="86"/>
      <c r="M790" s="86"/>
      <c r="N790" s="86"/>
      <c r="O790" s="86"/>
    </row>
    <row r="791">
      <c r="C791" s="99"/>
      <c r="D791" s="100"/>
      <c r="H791" s="86"/>
      <c r="I791" s="86"/>
      <c r="J791" s="86"/>
      <c r="K791" s="86"/>
      <c r="L791" s="86"/>
      <c r="M791" s="86"/>
      <c r="N791" s="86"/>
      <c r="O791" s="86"/>
    </row>
    <row r="792">
      <c r="C792" s="99"/>
      <c r="D792" s="100"/>
      <c r="H792" s="86"/>
      <c r="I792" s="86"/>
      <c r="J792" s="86"/>
      <c r="K792" s="86"/>
      <c r="L792" s="86"/>
      <c r="M792" s="86"/>
      <c r="N792" s="86"/>
      <c r="O792" s="86"/>
    </row>
    <row r="793">
      <c r="C793" s="99"/>
      <c r="D793" s="100"/>
      <c r="H793" s="86"/>
      <c r="I793" s="86"/>
      <c r="J793" s="86"/>
      <c r="K793" s="86"/>
      <c r="L793" s="86"/>
      <c r="M793" s="86"/>
      <c r="N793" s="86"/>
      <c r="O793" s="86"/>
    </row>
    <row r="794">
      <c r="C794" s="99"/>
      <c r="D794" s="100"/>
      <c r="H794" s="86"/>
      <c r="I794" s="86"/>
      <c r="J794" s="86"/>
      <c r="K794" s="86"/>
      <c r="L794" s="86"/>
      <c r="M794" s="86"/>
      <c r="N794" s="86"/>
      <c r="O794" s="86"/>
    </row>
    <row r="795">
      <c r="C795" s="99"/>
      <c r="D795" s="100"/>
      <c r="H795" s="86"/>
      <c r="I795" s="86"/>
      <c r="J795" s="86"/>
      <c r="K795" s="86"/>
      <c r="L795" s="86"/>
      <c r="M795" s="86"/>
      <c r="N795" s="86"/>
      <c r="O795" s="86"/>
    </row>
    <row r="796">
      <c r="C796" s="99"/>
      <c r="D796" s="100"/>
      <c r="H796" s="86"/>
      <c r="I796" s="86"/>
      <c r="J796" s="86"/>
      <c r="K796" s="86"/>
      <c r="L796" s="86"/>
      <c r="M796" s="86"/>
      <c r="N796" s="86"/>
      <c r="O796" s="86"/>
    </row>
    <row r="797">
      <c r="C797" s="99"/>
      <c r="D797" s="100"/>
      <c r="H797" s="86"/>
      <c r="I797" s="86"/>
      <c r="J797" s="86"/>
      <c r="K797" s="86"/>
      <c r="L797" s="86"/>
      <c r="M797" s="86"/>
      <c r="N797" s="86"/>
      <c r="O797" s="86"/>
    </row>
    <row r="798">
      <c r="C798" s="99"/>
      <c r="D798" s="100"/>
      <c r="H798" s="86"/>
      <c r="I798" s="86"/>
      <c r="J798" s="86"/>
      <c r="K798" s="86"/>
      <c r="L798" s="86"/>
      <c r="M798" s="86"/>
      <c r="N798" s="86"/>
      <c r="O798" s="86"/>
    </row>
    <row r="799">
      <c r="C799" s="99"/>
      <c r="D799" s="100"/>
      <c r="H799" s="86"/>
      <c r="I799" s="86"/>
      <c r="J799" s="86"/>
      <c r="K799" s="86"/>
      <c r="L799" s="86"/>
      <c r="M799" s="86"/>
      <c r="N799" s="86"/>
      <c r="O799" s="86"/>
    </row>
    <row r="800">
      <c r="C800" s="99"/>
      <c r="D800" s="100"/>
      <c r="H800" s="86"/>
      <c r="I800" s="86"/>
      <c r="J800" s="86"/>
      <c r="K800" s="86"/>
      <c r="L800" s="86"/>
      <c r="M800" s="86"/>
      <c r="N800" s="86"/>
      <c r="O800" s="86"/>
    </row>
    <row r="801">
      <c r="C801" s="99"/>
      <c r="D801" s="100"/>
      <c r="H801" s="86"/>
      <c r="I801" s="86"/>
      <c r="J801" s="86"/>
      <c r="K801" s="86"/>
      <c r="L801" s="86"/>
      <c r="M801" s="86"/>
      <c r="N801" s="86"/>
      <c r="O801" s="86"/>
    </row>
    <row r="802">
      <c r="C802" s="99"/>
      <c r="D802" s="100"/>
      <c r="H802" s="86"/>
      <c r="I802" s="86"/>
      <c r="J802" s="86"/>
      <c r="K802" s="86"/>
      <c r="L802" s="86"/>
      <c r="M802" s="86"/>
      <c r="N802" s="86"/>
      <c r="O802" s="86"/>
    </row>
    <row r="803">
      <c r="C803" s="99"/>
      <c r="D803" s="100"/>
      <c r="H803" s="86"/>
      <c r="I803" s="86"/>
      <c r="J803" s="86"/>
      <c r="K803" s="86"/>
      <c r="L803" s="86"/>
      <c r="M803" s="86"/>
      <c r="N803" s="86"/>
      <c r="O803" s="86"/>
    </row>
    <row r="804">
      <c r="C804" s="99"/>
      <c r="D804" s="100"/>
      <c r="H804" s="86"/>
      <c r="I804" s="86"/>
      <c r="J804" s="86"/>
      <c r="K804" s="86"/>
      <c r="L804" s="86"/>
      <c r="M804" s="86"/>
      <c r="N804" s="86"/>
      <c r="O804" s="86"/>
    </row>
    <row r="805">
      <c r="C805" s="99"/>
      <c r="D805" s="100"/>
      <c r="H805" s="86"/>
      <c r="I805" s="86"/>
      <c r="J805" s="86"/>
      <c r="K805" s="86"/>
      <c r="L805" s="86"/>
      <c r="M805" s="86"/>
      <c r="N805" s="86"/>
      <c r="O805" s="86"/>
    </row>
    <row r="806">
      <c r="C806" s="99"/>
      <c r="D806" s="100"/>
      <c r="H806" s="86"/>
      <c r="I806" s="86"/>
      <c r="J806" s="86"/>
      <c r="K806" s="86"/>
      <c r="L806" s="86"/>
      <c r="M806" s="86"/>
      <c r="N806" s="86"/>
      <c r="O806" s="86"/>
    </row>
    <row r="807">
      <c r="C807" s="99"/>
      <c r="D807" s="100"/>
      <c r="H807" s="86"/>
      <c r="I807" s="86"/>
      <c r="J807" s="86"/>
      <c r="K807" s="86"/>
      <c r="L807" s="86"/>
      <c r="M807" s="86"/>
      <c r="N807" s="86"/>
      <c r="O807" s="86"/>
    </row>
    <row r="808">
      <c r="C808" s="99"/>
      <c r="D808" s="100"/>
      <c r="H808" s="86"/>
      <c r="I808" s="86"/>
      <c r="J808" s="86"/>
      <c r="K808" s="86"/>
      <c r="L808" s="86"/>
      <c r="M808" s="86"/>
      <c r="N808" s="86"/>
      <c r="O808" s="86"/>
    </row>
    <row r="809">
      <c r="C809" s="99"/>
      <c r="D809" s="100"/>
      <c r="H809" s="86"/>
      <c r="I809" s="86"/>
      <c r="J809" s="86"/>
      <c r="K809" s="86"/>
      <c r="L809" s="86"/>
      <c r="M809" s="86"/>
      <c r="N809" s="86"/>
      <c r="O809" s="86"/>
    </row>
    <row r="810">
      <c r="C810" s="99"/>
      <c r="D810" s="100"/>
      <c r="H810" s="86"/>
      <c r="I810" s="86"/>
      <c r="J810" s="86"/>
      <c r="K810" s="86"/>
      <c r="L810" s="86"/>
      <c r="M810" s="86"/>
      <c r="N810" s="86"/>
      <c r="O810" s="86"/>
    </row>
    <row r="811">
      <c r="C811" s="99"/>
      <c r="D811" s="100"/>
      <c r="H811" s="86"/>
      <c r="I811" s="86"/>
      <c r="J811" s="86"/>
      <c r="K811" s="86"/>
      <c r="L811" s="86"/>
      <c r="M811" s="86"/>
      <c r="N811" s="86"/>
      <c r="O811" s="86"/>
    </row>
    <row r="812">
      <c r="C812" s="99"/>
      <c r="D812" s="100"/>
      <c r="H812" s="86"/>
      <c r="I812" s="86"/>
      <c r="J812" s="86"/>
      <c r="K812" s="86"/>
      <c r="L812" s="86"/>
      <c r="M812" s="86"/>
      <c r="N812" s="86"/>
      <c r="O812" s="86"/>
    </row>
    <row r="813">
      <c r="C813" s="99"/>
      <c r="D813" s="100"/>
      <c r="H813" s="86"/>
      <c r="I813" s="86"/>
      <c r="J813" s="86"/>
      <c r="K813" s="86"/>
      <c r="L813" s="86"/>
      <c r="M813" s="86"/>
      <c r="N813" s="86"/>
      <c r="O813" s="86"/>
    </row>
    <row r="814">
      <c r="C814" s="99"/>
      <c r="D814" s="100"/>
      <c r="H814" s="86"/>
      <c r="I814" s="86"/>
      <c r="J814" s="86"/>
      <c r="K814" s="86"/>
      <c r="L814" s="86"/>
      <c r="M814" s="86"/>
      <c r="N814" s="86"/>
      <c r="O814" s="86"/>
    </row>
    <row r="815">
      <c r="C815" s="99"/>
      <c r="D815" s="100"/>
      <c r="H815" s="86"/>
      <c r="I815" s="86"/>
      <c r="J815" s="86"/>
      <c r="K815" s="86"/>
      <c r="L815" s="86"/>
      <c r="M815" s="86"/>
      <c r="N815" s="86"/>
      <c r="O815" s="86"/>
    </row>
    <row r="816">
      <c r="C816" s="99"/>
      <c r="D816" s="100"/>
      <c r="H816" s="86"/>
      <c r="I816" s="86"/>
      <c r="J816" s="86"/>
      <c r="K816" s="86"/>
      <c r="L816" s="86"/>
      <c r="M816" s="86"/>
      <c r="N816" s="86"/>
      <c r="O816" s="86"/>
    </row>
    <row r="817">
      <c r="C817" s="99"/>
      <c r="D817" s="100"/>
      <c r="H817" s="86"/>
      <c r="I817" s="86"/>
      <c r="J817" s="86"/>
      <c r="K817" s="86"/>
      <c r="L817" s="86"/>
      <c r="M817" s="86"/>
      <c r="N817" s="86"/>
      <c r="O817" s="86"/>
    </row>
    <row r="818">
      <c r="C818" s="99"/>
      <c r="D818" s="100"/>
      <c r="H818" s="86"/>
      <c r="I818" s="86"/>
      <c r="J818" s="86"/>
      <c r="K818" s="86"/>
      <c r="L818" s="86"/>
      <c r="M818" s="86"/>
      <c r="N818" s="86"/>
      <c r="O818" s="86"/>
    </row>
    <row r="819">
      <c r="C819" s="99"/>
      <c r="D819" s="100"/>
      <c r="H819" s="86"/>
      <c r="I819" s="86"/>
      <c r="J819" s="86"/>
      <c r="K819" s="86"/>
      <c r="L819" s="86"/>
      <c r="M819" s="86"/>
      <c r="N819" s="86"/>
      <c r="O819" s="86"/>
    </row>
    <row r="820">
      <c r="C820" s="99"/>
      <c r="D820" s="100"/>
      <c r="H820" s="86"/>
      <c r="I820" s="86"/>
      <c r="J820" s="86"/>
      <c r="K820" s="86"/>
      <c r="L820" s="86"/>
      <c r="M820" s="86"/>
      <c r="N820" s="86"/>
      <c r="O820" s="86"/>
    </row>
    <row r="821">
      <c r="C821" s="99"/>
      <c r="D821" s="100"/>
      <c r="H821" s="86"/>
      <c r="I821" s="86"/>
      <c r="J821" s="86"/>
      <c r="K821" s="86"/>
      <c r="L821" s="86"/>
      <c r="M821" s="86"/>
      <c r="N821" s="86"/>
      <c r="O821" s="86"/>
    </row>
    <row r="822">
      <c r="C822" s="99"/>
      <c r="D822" s="100"/>
      <c r="H822" s="86"/>
      <c r="I822" s="86"/>
      <c r="J822" s="86"/>
      <c r="K822" s="86"/>
      <c r="L822" s="86"/>
      <c r="M822" s="86"/>
      <c r="N822" s="86"/>
      <c r="O822" s="86"/>
    </row>
    <row r="823">
      <c r="C823" s="99"/>
      <c r="D823" s="100"/>
      <c r="H823" s="86"/>
      <c r="I823" s="86"/>
      <c r="J823" s="86"/>
      <c r="K823" s="86"/>
      <c r="L823" s="86"/>
      <c r="M823" s="86"/>
      <c r="N823" s="86"/>
      <c r="O823" s="86"/>
    </row>
    <row r="824">
      <c r="C824" s="99"/>
      <c r="D824" s="100"/>
      <c r="H824" s="86"/>
      <c r="I824" s="86"/>
      <c r="J824" s="86"/>
      <c r="K824" s="86"/>
      <c r="L824" s="86"/>
      <c r="M824" s="86"/>
      <c r="N824" s="86"/>
      <c r="O824" s="86"/>
    </row>
    <row r="825">
      <c r="C825" s="99"/>
      <c r="D825" s="100"/>
      <c r="H825" s="86"/>
      <c r="I825" s="86"/>
      <c r="J825" s="86"/>
      <c r="K825" s="86"/>
      <c r="L825" s="86"/>
      <c r="M825" s="86"/>
      <c r="N825" s="86"/>
      <c r="O825" s="86"/>
    </row>
    <row r="826">
      <c r="C826" s="99"/>
      <c r="D826" s="100"/>
      <c r="H826" s="86"/>
      <c r="I826" s="86"/>
      <c r="J826" s="86"/>
      <c r="K826" s="86"/>
      <c r="L826" s="86"/>
      <c r="M826" s="86"/>
      <c r="N826" s="86"/>
      <c r="O826" s="86"/>
    </row>
    <row r="827">
      <c r="C827" s="99"/>
      <c r="D827" s="100"/>
      <c r="H827" s="86"/>
      <c r="I827" s="86"/>
      <c r="J827" s="86"/>
      <c r="K827" s="86"/>
      <c r="L827" s="86"/>
      <c r="M827" s="86"/>
      <c r="N827" s="86"/>
      <c r="O827" s="86"/>
    </row>
    <row r="828">
      <c r="C828" s="99"/>
      <c r="D828" s="100"/>
      <c r="H828" s="86"/>
      <c r="I828" s="86"/>
      <c r="J828" s="86"/>
      <c r="K828" s="86"/>
      <c r="L828" s="86"/>
      <c r="M828" s="86"/>
      <c r="N828" s="86"/>
      <c r="O828" s="86"/>
    </row>
    <row r="829">
      <c r="C829" s="99"/>
      <c r="D829" s="100"/>
      <c r="H829" s="86"/>
      <c r="I829" s="86"/>
      <c r="J829" s="86"/>
      <c r="K829" s="86"/>
      <c r="L829" s="86"/>
      <c r="M829" s="86"/>
      <c r="N829" s="86"/>
      <c r="O829" s="86"/>
    </row>
    <row r="830">
      <c r="C830" s="99"/>
      <c r="D830" s="100"/>
      <c r="H830" s="86"/>
      <c r="I830" s="86"/>
      <c r="J830" s="86"/>
      <c r="K830" s="86"/>
      <c r="L830" s="86"/>
      <c r="M830" s="86"/>
      <c r="N830" s="86"/>
      <c r="O830" s="86"/>
    </row>
    <row r="831">
      <c r="C831" s="99"/>
      <c r="D831" s="100"/>
      <c r="H831" s="86"/>
      <c r="I831" s="86"/>
      <c r="J831" s="86"/>
      <c r="K831" s="86"/>
      <c r="L831" s="86"/>
      <c r="M831" s="86"/>
      <c r="N831" s="86"/>
      <c r="O831" s="86"/>
    </row>
    <row r="832">
      <c r="C832" s="99"/>
      <c r="D832" s="100"/>
      <c r="H832" s="86"/>
      <c r="I832" s="86"/>
      <c r="J832" s="86"/>
      <c r="K832" s="86"/>
      <c r="L832" s="86"/>
      <c r="M832" s="86"/>
      <c r="N832" s="86"/>
      <c r="O832" s="86"/>
    </row>
    <row r="833">
      <c r="C833" s="99"/>
      <c r="D833" s="100"/>
      <c r="H833" s="86"/>
      <c r="I833" s="86"/>
      <c r="J833" s="86"/>
      <c r="K833" s="86"/>
      <c r="L833" s="86"/>
      <c r="M833" s="86"/>
      <c r="N833" s="86"/>
      <c r="O833" s="86"/>
    </row>
    <row r="834">
      <c r="C834" s="99"/>
      <c r="D834" s="100"/>
      <c r="H834" s="86"/>
      <c r="I834" s="86"/>
      <c r="J834" s="86"/>
      <c r="K834" s="86"/>
      <c r="L834" s="86"/>
      <c r="M834" s="86"/>
      <c r="N834" s="86"/>
      <c r="O834" s="86"/>
    </row>
    <row r="835">
      <c r="C835" s="99"/>
      <c r="D835" s="100"/>
      <c r="H835" s="86"/>
      <c r="I835" s="86"/>
      <c r="J835" s="86"/>
      <c r="K835" s="86"/>
      <c r="L835" s="86"/>
      <c r="M835" s="86"/>
      <c r="N835" s="86"/>
      <c r="O835" s="86"/>
    </row>
    <row r="836">
      <c r="C836" s="99"/>
      <c r="D836" s="100"/>
      <c r="H836" s="86"/>
      <c r="I836" s="86"/>
      <c r="J836" s="86"/>
      <c r="K836" s="86"/>
      <c r="L836" s="86"/>
      <c r="M836" s="86"/>
      <c r="N836" s="86"/>
      <c r="O836" s="86"/>
    </row>
    <row r="837">
      <c r="C837" s="99"/>
      <c r="D837" s="100"/>
      <c r="H837" s="86"/>
      <c r="I837" s="86"/>
      <c r="J837" s="86"/>
      <c r="K837" s="86"/>
      <c r="L837" s="86"/>
      <c r="M837" s="86"/>
      <c r="N837" s="86"/>
      <c r="O837" s="86"/>
    </row>
    <row r="838">
      <c r="C838" s="99"/>
      <c r="D838" s="100"/>
      <c r="H838" s="86"/>
      <c r="I838" s="86"/>
      <c r="J838" s="86"/>
      <c r="K838" s="86"/>
      <c r="L838" s="86"/>
      <c r="M838" s="86"/>
      <c r="N838" s="86"/>
      <c r="O838" s="86"/>
    </row>
    <row r="839">
      <c r="C839" s="99"/>
      <c r="D839" s="100"/>
      <c r="H839" s="86"/>
      <c r="I839" s="86"/>
      <c r="J839" s="86"/>
      <c r="K839" s="86"/>
      <c r="L839" s="86"/>
      <c r="M839" s="86"/>
      <c r="N839" s="86"/>
      <c r="O839" s="86"/>
    </row>
    <row r="840">
      <c r="C840" s="99"/>
      <c r="D840" s="100"/>
      <c r="H840" s="86"/>
      <c r="I840" s="86"/>
      <c r="J840" s="86"/>
      <c r="K840" s="86"/>
      <c r="L840" s="86"/>
      <c r="M840" s="86"/>
      <c r="N840" s="86"/>
      <c r="O840" s="86"/>
    </row>
    <row r="841">
      <c r="C841" s="99"/>
      <c r="D841" s="100"/>
      <c r="H841" s="86"/>
      <c r="I841" s="86"/>
      <c r="J841" s="86"/>
      <c r="K841" s="86"/>
      <c r="L841" s="86"/>
      <c r="M841" s="86"/>
      <c r="N841" s="86"/>
      <c r="O841" s="86"/>
    </row>
    <row r="842">
      <c r="C842" s="99"/>
      <c r="D842" s="100"/>
      <c r="H842" s="86"/>
      <c r="I842" s="86"/>
      <c r="J842" s="86"/>
      <c r="K842" s="86"/>
      <c r="L842" s="86"/>
      <c r="M842" s="86"/>
      <c r="N842" s="86"/>
      <c r="O842" s="86"/>
    </row>
    <row r="843">
      <c r="C843" s="99"/>
      <c r="D843" s="100"/>
      <c r="H843" s="86"/>
      <c r="I843" s="86"/>
      <c r="J843" s="86"/>
      <c r="K843" s="86"/>
      <c r="L843" s="86"/>
      <c r="M843" s="86"/>
      <c r="N843" s="86"/>
      <c r="O843" s="86"/>
    </row>
    <row r="844">
      <c r="C844" s="99"/>
      <c r="D844" s="100"/>
      <c r="H844" s="86"/>
      <c r="I844" s="86"/>
      <c r="J844" s="86"/>
      <c r="K844" s="86"/>
      <c r="L844" s="86"/>
      <c r="M844" s="86"/>
      <c r="N844" s="86"/>
      <c r="O844" s="86"/>
    </row>
    <row r="845">
      <c r="C845" s="99"/>
      <c r="D845" s="100"/>
      <c r="H845" s="86"/>
      <c r="I845" s="86"/>
      <c r="J845" s="86"/>
      <c r="K845" s="86"/>
      <c r="L845" s="86"/>
      <c r="M845" s="86"/>
      <c r="N845" s="86"/>
      <c r="O845" s="86"/>
    </row>
    <row r="846">
      <c r="C846" s="99"/>
      <c r="D846" s="100"/>
      <c r="H846" s="86"/>
      <c r="I846" s="86"/>
      <c r="J846" s="86"/>
      <c r="K846" s="86"/>
      <c r="L846" s="86"/>
      <c r="M846" s="86"/>
      <c r="N846" s="86"/>
      <c r="O846" s="86"/>
    </row>
    <row r="847">
      <c r="C847" s="99"/>
      <c r="D847" s="100"/>
      <c r="H847" s="86"/>
      <c r="I847" s="86"/>
      <c r="J847" s="86"/>
      <c r="K847" s="86"/>
      <c r="L847" s="86"/>
      <c r="M847" s="86"/>
      <c r="N847" s="86"/>
      <c r="O847" s="86"/>
    </row>
    <row r="848">
      <c r="C848" s="99"/>
      <c r="D848" s="100"/>
      <c r="H848" s="86"/>
      <c r="I848" s="86"/>
      <c r="J848" s="86"/>
      <c r="K848" s="86"/>
      <c r="L848" s="86"/>
      <c r="M848" s="86"/>
      <c r="N848" s="86"/>
      <c r="O848" s="86"/>
    </row>
    <row r="849">
      <c r="C849" s="99"/>
      <c r="D849" s="100"/>
      <c r="H849" s="86"/>
      <c r="I849" s="86"/>
      <c r="J849" s="86"/>
      <c r="K849" s="86"/>
      <c r="L849" s="86"/>
      <c r="M849" s="86"/>
      <c r="N849" s="86"/>
      <c r="O849" s="86"/>
    </row>
    <row r="850">
      <c r="C850" s="99"/>
      <c r="D850" s="100"/>
      <c r="H850" s="86"/>
      <c r="I850" s="86"/>
      <c r="J850" s="86"/>
      <c r="K850" s="86"/>
      <c r="L850" s="86"/>
      <c r="M850" s="86"/>
      <c r="N850" s="86"/>
      <c r="O850" s="86"/>
    </row>
    <row r="851">
      <c r="C851" s="99"/>
      <c r="D851" s="100"/>
      <c r="H851" s="86"/>
      <c r="I851" s="86"/>
      <c r="J851" s="86"/>
      <c r="K851" s="86"/>
      <c r="L851" s="86"/>
      <c r="M851" s="86"/>
      <c r="N851" s="86"/>
      <c r="O851" s="86"/>
    </row>
    <row r="852">
      <c r="C852" s="99"/>
      <c r="D852" s="100"/>
      <c r="H852" s="86"/>
      <c r="I852" s="86"/>
      <c r="J852" s="86"/>
      <c r="K852" s="86"/>
      <c r="L852" s="86"/>
      <c r="M852" s="86"/>
      <c r="N852" s="86"/>
      <c r="O852" s="86"/>
    </row>
    <row r="853">
      <c r="C853" s="99"/>
      <c r="D853" s="100"/>
      <c r="H853" s="86"/>
      <c r="I853" s="86"/>
      <c r="J853" s="86"/>
      <c r="K853" s="86"/>
      <c r="L853" s="86"/>
      <c r="M853" s="86"/>
      <c r="N853" s="86"/>
      <c r="O853" s="86"/>
    </row>
    <row r="854">
      <c r="C854" s="99"/>
      <c r="D854" s="100"/>
      <c r="H854" s="86"/>
      <c r="I854" s="86"/>
      <c r="J854" s="86"/>
      <c r="K854" s="86"/>
      <c r="L854" s="86"/>
      <c r="M854" s="86"/>
      <c r="N854" s="86"/>
      <c r="O854" s="86"/>
    </row>
    <row r="855">
      <c r="C855" s="99"/>
      <c r="D855" s="100"/>
      <c r="H855" s="86"/>
      <c r="I855" s="86"/>
      <c r="J855" s="86"/>
      <c r="K855" s="86"/>
      <c r="L855" s="86"/>
      <c r="M855" s="86"/>
      <c r="N855" s="86"/>
      <c r="O855" s="86"/>
    </row>
    <row r="856">
      <c r="C856" s="99"/>
      <c r="D856" s="100"/>
      <c r="H856" s="86"/>
      <c r="I856" s="86"/>
      <c r="J856" s="86"/>
      <c r="K856" s="86"/>
      <c r="L856" s="86"/>
      <c r="M856" s="86"/>
      <c r="N856" s="86"/>
      <c r="O856" s="86"/>
    </row>
    <row r="857">
      <c r="C857" s="99"/>
      <c r="D857" s="100"/>
      <c r="H857" s="86"/>
      <c r="I857" s="86"/>
      <c r="J857" s="86"/>
      <c r="K857" s="86"/>
      <c r="L857" s="86"/>
      <c r="M857" s="86"/>
      <c r="N857" s="86"/>
      <c r="O857" s="86"/>
    </row>
    <row r="858">
      <c r="C858" s="99"/>
      <c r="D858" s="100"/>
      <c r="H858" s="86"/>
      <c r="I858" s="86"/>
      <c r="J858" s="86"/>
      <c r="K858" s="86"/>
      <c r="L858" s="86"/>
      <c r="M858" s="86"/>
      <c r="N858" s="86"/>
      <c r="O858" s="86"/>
    </row>
    <row r="859">
      <c r="C859" s="99"/>
      <c r="D859" s="100"/>
      <c r="H859" s="86"/>
      <c r="I859" s="86"/>
      <c r="J859" s="86"/>
      <c r="K859" s="86"/>
      <c r="L859" s="86"/>
      <c r="M859" s="86"/>
      <c r="N859" s="86"/>
      <c r="O859" s="86"/>
    </row>
    <row r="860">
      <c r="C860" s="99"/>
      <c r="D860" s="100"/>
      <c r="H860" s="86"/>
      <c r="I860" s="86"/>
      <c r="J860" s="86"/>
      <c r="K860" s="86"/>
      <c r="L860" s="86"/>
      <c r="M860" s="86"/>
      <c r="N860" s="86"/>
      <c r="O860" s="86"/>
    </row>
    <row r="861">
      <c r="C861" s="99"/>
      <c r="D861" s="100"/>
      <c r="H861" s="86"/>
      <c r="I861" s="86"/>
      <c r="J861" s="86"/>
      <c r="K861" s="86"/>
      <c r="L861" s="86"/>
      <c r="M861" s="86"/>
      <c r="N861" s="86"/>
      <c r="O861" s="86"/>
    </row>
    <row r="862">
      <c r="C862" s="99"/>
      <c r="D862" s="100"/>
      <c r="H862" s="86"/>
      <c r="I862" s="86"/>
      <c r="J862" s="86"/>
      <c r="K862" s="86"/>
      <c r="L862" s="86"/>
      <c r="M862" s="86"/>
      <c r="N862" s="86"/>
      <c r="O862" s="86"/>
    </row>
    <row r="863">
      <c r="C863" s="99"/>
      <c r="D863" s="100"/>
      <c r="H863" s="86"/>
      <c r="I863" s="86"/>
      <c r="J863" s="86"/>
      <c r="K863" s="86"/>
      <c r="L863" s="86"/>
      <c r="M863" s="86"/>
      <c r="N863" s="86"/>
      <c r="O863" s="86"/>
    </row>
    <row r="864">
      <c r="C864" s="99"/>
      <c r="D864" s="100"/>
      <c r="H864" s="86"/>
      <c r="I864" s="86"/>
      <c r="J864" s="86"/>
      <c r="K864" s="86"/>
      <c r="L864" s="86"/>
      <c r="M864" s="86"/>
      <c r="N864" s="86"/>
      <c r="O864" s="86"/>
    </row>
    <row r="865">
      <c r="C865" s="99"/>
      <c r="D865" s="100"/>
      <c r="H865" s="86"/>
      <c r="I865" s="86"/>
      <c r="J865" s="86"/>
      <c r="K865" s="86"/>
      <c r="L865" s="86"/>
      <c r="M865" s="86"/>
      <c r="N865" s="86"/>
      <c r="O865" s="86"/>
    </row>
    <row r="866">
      <c r="C866" s="99"/>
      <c r="D866" s="100"/>
      <c r="H866" s="86"/>
      <c r="I866" s="86"/>
      <c r="J866" s="86"/>
      <c r="K866" s="86"/>
      <c r="L866" s="86"/>
      <c r="M866" s="86"/>
      <c r="N866" s="86"/>
      <c r="O866" s="86"/>
    </row>
    <row r="867">
      <c r="C867" s="99"/>
      <c r="D867" s="100"/>
      <c r="H867" s="86"/>
      <c r="I867" s="86"/>
      <c r="J867" s="86"/>
      <c r="K867" s="86"/>
      <c r="L867" s="86"/>
      <c r="M867" s="86"/>
      <c r="N867" s="86"/>
      <c r="O867" s="86"/>
    </row>
    <row r="868">
      <c r="C868" s="99"/>
      <c r="D868" s="100"/>
      <c r="H868" s="86"/>
      <c r="I868" s="86"/>
      <c r="J868" s="86"/>
      <c r="K868" s="86"/>
      <c r="L868" s="86"/>
      <c r="M868" s="86"/>
      <c r="N868" s="86"/>
      <c r="O868" s="86"/>
    </row>
    <row r="869">
      <c r="C869" s="99"/>
      <c r="D869" s="100"/>
      <c r="H869" s="86"/>
      <c r="I869" s="86"/>
      <c r="J869" s="86"/>
      <c r="K869" s="86"/>
      <c r="L869" s="86"/>
      <c r="M869" s="86"/>
      <c r="N869" s="86"/>
      <c r="O869" s="86"/>
    </row>
    <row r="870">
      <c r="C870" s="99"/>
      <c r="D870" s="100"/>
      <c r="H870" s="86"/>
      <c r="I870" s="86"/>
      <c r="J870" s="86"/>
      <c r="K870" s="86"/>
      <c r="L870" s="86"/>
      <c r="M870" s="86"/>
      <c r="N870" s="86"/>
      <c r="O870" s="86"/>
    </row>
    <row r="871">
      <c r="C871" s="99"/>
      <c r="D871" s="100"/>
      <c r="H871" s="86"/>
      <c r="I871" s="86"/>
      <c r="J871" s="86"/>
      <c r="K871" s="86"/>
      <c r="L871" s="86"/>
      <c r="M871" s="86"/>
      <c r="N871" s="86"/>
      <c r="O871" s="86"/>
    </row>
    <row r="872">
      <c r="C872" s="99"/>
      <c r="D872" s="100"/>
      <c r="H872" s="86"/>
      <c r="I872" s="86"/>
      <c r="J872" s="86"/>
      <c r="K872" s="86"/>
      <c r="L872" s="86"/>
      <c r="M872" s="86"/>
      <c r="N872" s="86"/>
      <c r="O872" s="86"/>
    </row>
    <row r="873">
      <c r="C873" s="99"/>
      <c r="D873" s="100"/>
      <c r="H873" s="86"/>
      <c r="I873" s="86"/>
      <c r="J873" s="86"/>
      <c r="K873" s="86"/>
      <c r="L873" s="86"/>
      <c r="M873" s="86"/>
      <c r="N873" s="86"/>
      <c r="O873" s="86"/>
    </row>
    <row r="874">
      <c r="C874" s="99"/>
      <c r="D874" s="100"/>
      <c r="H874" s="86"/>
      <c r="I874" s="86"/>
      <c r="J874" s="86"/>
      <c r="K874" s="86"/>
      <c r="L874" s="86"/>
      <c r="M874" s="86"/>
      <c r="N874" s="86"/>
      <c r="O874" s="86"/>
    </row>
    <row r="875">
      <c r="C875" s="99"/>
      <c r="D875" s="100"/>
      <c r="H875" s="86"/>
      <c r="I875" s="86"/>
      <c r="J875" s="86"/>
      <c r="K875" s="86"/>
      <c r="L875" s="86"/>
      <c r="M875" s="86"/>
      <c r="N875" s="86"/>
      <c r="O875" s="86"/>
    </row>
    <row r="876">
      <c r="C876" s="99"/>
      <c r="D876" s="100"/>
      <c r="H876" s="86"/>
      <c r="I876" s="86"/>
      <c r="J876" s="86"/>
      <c r="K876" s="86"/>
      <c r="L876" s="86"/>
      <c r="M876" s="86"/>
      <c r="N876" s="86"/>
      <c r="O876" s="86"/>
    </row>
    <row r="877">
      <c r="C877" s="99"/>
      <c r="D877" s="100"/>
      <c r="H877" s="86"/>
      <c r="I877" s="86"/>
      <c r="J877" s="86"/>
      <c r="K877" s="86"/>
      <c r="L877" s="86"/>
      <c r="M877" s="86"/>
      <c r="N877" s="86"/>
      <c r="O877" s="86"/>
    </row>
    <row r="878">
      <c r="C878" s="99"/>
      <c r="D878" s="100"/>
      <c r="H878" s="86"/>
      <c r="I878" s="86"/>
      <c r="J878" s="86"/>
      <c r="K878" s="86"/>
      <c r="L878" s="86"/>
      <c r="M878" s="86"/>
      <c r="N878" s="86"/>
      <c r="O878" s="86"/>
    </row>
    <row r="879">
      <c r="C879" s="99"/>
      <c r="D879" s="100"/>
      <c r="H879" s="86"/>
      <c r="I879" s="86"/>
      <c r="J879" s="86"/>
      <c r="K879" s="86"/>
      <c r="L879" s="86"/>
      <c r="M879" s="86"/>
      <c r="N879" s="86"/>
      <c r="O879" s="86"/>
    </row>
    <row r="880">
      <c r="C880" s="99"/>
      <c r="D880" s="100"/>
      <c r="H880" s="86"/>
      <c r="I880" s="86"/>
      <c r="J880" s="86"/>
      <c r="K880" s="86"/>
      <c r="L880" s="86"/>
      <c r="M880" s="86"/>
      <c r="N880" s="86"/>
      <c r="O880" s="86"/>
    </row>
    <row r="881">
      <c r="C881" s="99"/>
      <c r="D881" s="100"/>
      <c r="H881" s="86"/>
      <c r="I881" s="86"/>
      <c r="J881" s="86"/>
      <c r="K881" s="86"/>
      <c r="L881" s="86"/>
      <c r="M881" s="86"/>
      <c r="N881" s="86"/>
      <c r="O881" s="86"/>
    </row>
    <row r="882">
      <c r="C882" s="99"/>
      <c r="D882" s="100"/>
      <c r="H882" s="86"/>
      <c r="I882" s="86"/>
      <c r="J882" s="86"/>
      <c r="K882" s="86"/>
      <c r="L882" s="86"/>
      <c r="M882" s="86"/>
      <c r="N882" s="86"/>
      <c r="O882" s="86"/>
    </row>
    <row r="883">
      <c r="C883" s="99"/>
      <c r="D883" s="100"/>
      <c r="H883" s="86"/>
      <c r="I883" s="86"/>
      <c r="J883" s="86"/>
      <c r="K883" s="86"/>
      <c r="L883" s="86"/>
      <c r="M883" s="86"/>
      <c r="N883" s="86"/>
      <c r="O883" s="86"/>
    </row>
    <row r="884">
      <c r="C884" s="99"/>
      <c r="D884" s="100"/>
      <c r="H884" s="86"/>
      <c r="I884" s="86"/>
      <c r="J884" s="86"/>
      <c r="K884" s="86"/>
      <c r="L884" s="86"/>
      <c r="M884" s="86"/>
      <c r="N884" s="86"/>
      <c r="O884" s="86"/>
    </row>
    <row r="885">
      <c r="C885" s="99"/>
      <c r="D885" s="100"/>
      <c r="H885" s="86"/>
      <c r="I885" s="86"/>
      <c r="J885" s="86"/>
      <c r="K885" s="86"/>
      <c r="L885" s="86"/>
      <c r="M885" s="86"/>
      <c r="N885" s="86"/>
      <c r="O885" s="86"/>
    </row>
    <row r="886">
      <c r="C886" s="99"/>
      <c r="D886" s="100"/>
      <c r="H886" s="86"/>
      <c r="I886" s="86"/>
      <c r="J886" s="86"/>
      <c r="K886" s="86"/>
      <c r="L886" s="86"/>
      <c r="M886" s="86"/>
      <c r="N886" s="86"/>
      <c r="O886" s="86"/>
    </row>
    <row r="887">
      <c r="C887" s="99"/>
      <c r="D887" s="100"/>
      <c r="H887" s="86"/>
      <c r="I887" s="86"/>
      <c r="J887" s="86"/>
      <c r="K887" s="86"/>
      <c r="L887" s="86"/>
      <c r="M887" s="86"/>
      <c r="N887" s="86"/>
      <c r="O887" s="86"/>
    </row>
    <row r="888">
      <c r="C888" s="99"/>
      <c r="D888" s="100"/>
      <c r="H888" s="86"/>
      <c r="I888" s="86"/>
      <c r="J888" s="86"/>
      <c r="K888" s="86"/>
      <c r="L888" s="86"/>
      <c r="M888" s="86"/>
      <c r="N888" s="86"/>
      <c r="O888" s="86"/>
    </row>
    <row r="889">
      <c r="C889" s="99"/>
      <c r="D889" s="100"/>
      <c r="H889" s="86"/>
      <c r="I889" s="86"/>
      <c r="J889" s="86"/>
      <c r="K889" s="86"/>
      <c r="L889" s="86"/>
      <c r="M889" s="86"/>
      <c r="N889" s="86"/>
      <c r="O889" s="86"/>
    </row>
    <row r="890">
      <c r="C890" s="99"/>
      <c r="D890" s="100"/>
      <c r="H890" s="86"/>
      <c r="I890" s="86"/>
      <c r="J890" s="86"/>
      <c r="K890" s="86"/>
      <c r="L890" s="86"/>
      <c r="M890" s="86"/>
      <c r="N890" s="86"/>
      <c r="O890" s="86"/>
    </row>
    <row r="891">
      <c r="C891" s="99"/>
      <c r="D891" s="100"/>
      <c r="H891" s="86"/>
      <c r="I891" s="86"/>
      <c r="J891" s="86"/>
      <c r="K891" s="86"/>
      <c r="L891" s="86"/>
      <c r="M891" s="86"/>
      <c r="N891" s="86"/>
      <c r="O891" s="86"/>
    </row>
    <row r="892">
      <c r="C892" s="99"/>
      <c r="D892" s="100"/>
      <c r="H892" s="86"/>
      <c r="I892" s="86"/>
      <c r="J892" s="86"/>
      <c r="K892" s="86"/>
      <c r="L892" s="86"/>
      <c r="M892" s="86"/>
      <c r="N892" s="86"/>
      <c r="O892" s="86"/>
    </row>
    <row r="893">
      <c r="C893" s="99"/>
      <c r="D893" s="100"/>
      <c r="H893" s="86"/>
      <c r="I893" s="86"/>
      <c r="J893" s="86"/>
      <c r="K893" s="86"/>
      <c r="L893" s="86"/>
      <c r="M893" s="86"/>
      <c r="N893" s="86"/>
      <c r="O893" s="86"/>
    </row>
    <row r="894">
      <c r="C894" s="99"/>
      <c r="D894" s="100"/>
      <c r="H894" s="86"/>
      <c r="I894" s="86"/>
      <c r="J894" s="86"/>
      <c r="K894" s="86"/>
      <c r="L894" s="86"/>
      <c r="M894" s="86"/>
      <c r="N894" s="86"/>
      <c r="O894" s="86"/>
    </row>
    <row r="895">
      <c r="C895" s="99"/>
      <c r="D895" s="100"/>
      <c r="H895" s="86"/>
      <c r="I895" s="86"/>
      <c r="J895" s="86"/>
      <c r="K895" s="86"/>
      <c r="L895" s="86"/>
      <c r="M895" s="86"/>
      <c r="N895" s="86"/>
      <c r="O895" s="86"/>
    </row>
    <row r="896">
      <c r="C896" s="99"/>
      <c r="D896" s="100"/>
      <c r="H896" s="86"/>
      <c r="I896" s="86"/>
      <c r="J896" s="86"/>
      <c r="K896" s="86"/>
      <c r="L896" s="86"/>
      <c r="M896" s="86"/>
      <c r="N896" s="86"/>
      <c r="O896" s="86"/>
    </row>
    <row r="897">
      <c r="C897" s="99"/>
      <c r="D897" s="100"/>
      <c r="H897" s="86"/>
      <c r="I897" s="86"/>
      <c r="J897" s="86"/>
      <c r="K897" s="86"/>
      <c r="L897" s="86"/>
      <c r="M897" s="86"/>
      <c r="N897" s="86"/>
      <c r="O897" s="86"/>
    </row>
    <row r="898">
      <c r="C898" s="99"/>
      <c r="D898" s="100"/>
      <c r="H898" s="86"/>
      <c r="I898" s="86"/>
      <c r="J898" s="86"/>
      <c r="K898" s="86"/>
      <c r="L898" s="86"/>
      <c r="M898" s="86"/>
      <c r="N898" s="86"/>
      <c r="O898" s="86"/>
    </row>
    <row r="899">
      <c r="C899" s="99"/>
      <c r="D899" s="100"/>
      <c r="H899" s="86"/>
      <c r="I899" s="86"/>
      <c r="J899" s="86"/>
      <c r="K899" s="86"/>
      <c r="L899" s="86"/>
      <c r="M899" s="86"/>
      <c r="N899" s="86"/>
      <c r="O899" s="86"/>
    </row>
    <row r="900">
      <c r="C900" s="99"/>
      <c r="D900" s="100"/>
      <c r="H900" s="86"/>
      <c r="I900" s="86"/>
      <c r="J900" s="86"/>
      <c r="K900" s="86"/>
      <c r="L900" s="86"/>
      <c r="M900" s="86"/>
      <c r="N900" s="86"/>
      <c r="O900" s="86"/>
    </row>
    <row r="901">
      <c r="C901" s="99"/>
      <c r="D901" s="100"/>
      <c r="H901" s="86"/>
      <c r="I901" s="86"/>
      <c r="J901" s="86"/>
      <c r="K901" s="86"/>
      <c r="L901" s="86"/>
      <c r="M901" s="86"/>
      <c r="N901" s="86"/>
      <c r="O901" s="86"/>
    </row>
    <row r="902">
      <c r="C902" s="99"/>
      <c r="D902" s="100"/>
      <c r="H902" s="86"/>
      <c r="I902" s="86"/>
      <c r="J902" s="86"/>
      <c r="K902" s="86"/>
      <c r="L902" s="86"/>
      <c r="M902" s="86"/>
      <c r="N902" s="86"/>
      <c r="O902" s="86"/>
    </row>
    <row r="903">
      <c r="C903" s="99"/>
      <c r="D903" s="100"/>
      <c r="H903" s="86"/>
      <c r="I903" s="86"/>
      <c r="J903" s="86"/>
      <c r="K903" s="86"/>
      <c r="L903" s="86"/>
      <c r="M903" s="86"/>
      <c r="N903" s="86"/>
      <c r="O903" s="86"/>
    </row>
    <row r="904">
      <c r="C904" s="99"/>
      <c r="D904" s="100"/>
      <c r="H904" s="86"/>
      <c r="I904" s="86"/>
      <c r="J904" s="86"/>
      <c r="K904" s="86"/>
      <c r="L904" s="86"/>
      <c r="M904" s="86"/>
      <c r="N904" s="86"/>
      <c r="O904" s="86"/>
    </row>
    <row r="905">
      <c r="C905" s="99"/>
      <c r="D905" s="100"/>
      <c r="H905" s="86"/>
      <c r="I905" s="86"/>
      <c r="J905" s="86"/>
      <c r="K905" s="86"/>
      <c r="L905" s="86"/>
      <c r="M905" s="86"/>
      <c r="N905" s="86"/>
      <c r="O905" s="86"/>
    </row>
    <row r="906">
      <c r="C906" s="99"/>
      <c r="D906" s="100"/>
      <c r="H906" s="86"/>
      <c r="I906" s="86"/>
      <c r="J906" s="86"/>
      <c r="K906" s="86"/>
      <c r="L906" s="86"/>
      <c r="M906" s="86"/>
      <c r="N906" s="86"/>
      <c r="O906" s="86"/>
    </row>
    <row r="907">
      <c r="C907" s="99"/>
      <c r="D907" s="100"/>
      <c r="H907" s="86"/>
      <c r="I907" s="86"/>
      <c r="J907" s="86"/>
      <c r="K907" s="86"/>
      <c r="L907" s="86"/>
      <c r="M907" s="86"/>
      <c r="N907" s="86"/>
      <c r="O907" s="86"/>
    </row>
    <row r="908">
      <c r="C908" s="99"/>
      <c r="D908" s="100"/>
      <c r="H908" s="86"/>
      <c r="I908" s="86"/>
      <c r="J908" s="86"/>
      <c r="K908" s="86"/>
      <c r="L908" s="86"/>
      <c r="M908" s="86"/>
      <c r="N908" s="86"/>
      <c r="O908" s="86"/>
    </row>
    <row r="909">
      <c r="C909" s="99"/>
      <c r="D909" s="100"/>
      <c r="H909" s="86"/>
      <c r="I909" s="86"/>
      <c r="J909" s="86"/>
      <c r="K909" s="86"/>
      <c r="L909" s="86"/>
      <c r="M909" s="86"/>
      <c r="N909" s="86"/>
      <c r="O909" s="86"/>
    </row>
    <row r="910">
      <c r="C910" s="99"/>
      <c r="D910" s="100"/>
      <c r="H910" s="86"/>
      <c r="I910" s="86"/>
      <c r="J910" s="86"/>
      <c r="K910" s="86"/>
      <c r="L910" s="86"/>
      <c r="M910" s="86"/>
      <c r="N910" s="86"/>
      <c r="O910" s="86"/>
    </row>
    <row r="911">
      <c r="C911" s="99"/>
      <c r="D911" s="100"/>
      <c r="H911" s="86"/>
      <c r="I911" s="86"/>
      <c r="J911" s="86"/>
      <c r="K911" s="86"/>
      <c r="L911" s="86"/>
      <c r="M911" s="86"/>
      <c r="N911" s="86"/>
      <c r="O911" s="86"/>
    </row>
    <row r="912">
      <c r="C912" s="99"/>
      <c r="D912" s="100"/>
      <c r="H912" s="86"/>
      <c r="I912" s="86"/>
      <c r="J912" s="86"/>
      <c r="K912" s="86"/>
      <c r="L912" s="86"/>
      <c r="M912" s="86"/>
      <c r="N912" s="86"/>
      <c r="O912" s="86"/>
    </row>
    <row r="913">
      <c r="C913" s="99"/>
      <c r="D913" s="100"/>
      <c r="H913" s="86"/>
      <c r="I913" s="86"/>
      <c r="J913" s="86"/>
      <c r="K913" s="86"/>
      <c r="L913" s="86"/>
      <c r="M913" s="86"/>
      <c r="N913" s="86"/>
      <c r="O913" s="86"/>
    </row>
    <row r="914">
      <c r="C914" s="99"/>
      <c r="D914" s="100"/>
      <c r="H914" s="86"/>
      <c r="I914" s="86"/>
      <c r="J914" s="86"/>
      <c r="K914" s="86"/>
      <c r="L914" s="86"/>
      <c r="M914" s="86"/>
      <c r="N914" s="86"/>
      <c r="O914" s="86"/>
    </row>
    <row r="915">
      <c r="C915" s="99"/>
      <c r="D915" s="100"/>
      <c r="H915" s="86"/>
      <c r="I915" s="86"/>
      <c r="J915" s="86"/>
      <c r="K915" s="86"/>
      <c r="L915" s="86"/>
      <c r="M915" s="86"/>
      <c r="N915" s="86"/>
      <c r="O915" s="86"/>
    </row>
    <row r="916">
      <c r="C916" s="99"/>
      <c r="D916" s="100"/>
      <c r="H916" s="86"/>
      <c r="I916" s="86"/>
      <c r="J916" s="86"/>
      <c r="K916" s="86"/>
      <c r="L916" s="86"/>
      <c r="M916" s="86"/>
      <c r="N916" s="86"/>
      <c r="O916" s="86"/>
    </row>
    <row r="917">
      <c r="C917" s="99"/>
      <c r="D917" s="100"/>
      <c r="H917" s="86"/>
      <c r="I917" s="86"/>
      <c r="J917" s="86"/>
      <c r="K917" s="86"/>
      <c r="L917" s="86"/>
      <c r="M917" s="86"/>
      <c r="N917" s="86"/>
      <c r="O917" s="86"/>
    </row>
    <row r="918">
      <c r="C918" s="99"/>
      <c r="D918" s="100"/>
      <c r="H918" s="86"/>
      <c r="I918" s="86"/>
      <c r="J918" s="86"/>
      <c r="K918" s="86"/>
      <c r="L918" s="86"/>
      <c r="M918" s="86"/>
      <c r="N918" s="86"/>
      <c r="O918" s="86"/>
    </row>
    <row r="919">
      <c r="C919" s="99"/>
      <c r="D919" s="100"/>
      <c r="H919" s="86"/>
      <c r="I919" s="86"/>
      <c r="J919" s="86"/>
      <c r="K919" s="86"/>
      <c r="L919" s="86"/>
      <c r="M919" s="86"/>
      <c r="N919" s="86"/>
      <c r="O919" s="86"/>
    </row>
    <row r="920">
      <c r="C920" s="99"/>
      <c r="D920" s="100"/>
      <c r="H920" s="86"/>
      <c r="I920" s="86"/>
      <c r="J920" s="86"/>
      <c r="K920" s="86"/>
      <c r="L920" s="86"/>
      <c r="M920" s="86"/>
      <c r="N920" s="86"/>
      <c r="O920" s="86"/>
    </row>
    <row r="921">
      <c r="C921" s="99"/>
      <c r="D921" s="100"/>
      <c r="H921" s="86"/>
      <c r="I921" s="86"/>
      <c r="J921" s="86"/>
      <c r="K921" s="86"/>
      <c r="L921" s="86"/>
      <c r="M921" s="86"/>
      <c r="N921" s="86"/>
      <c r="O921" s="86"/>
    </row>
    <row r="922">
      <c r="C922" s="99"/>
      <c r="D922" s="100"/>
      <c r="H922" s="86"/>
      <c r="I922" s="86"/>
      <c r="J922" s="86"/>
      <c r="K922" s="86"/>
      <c r="L922" s="86"/>
      <c r="M922" s="86"/>
      <c r="N922" s="86"/>
      <c r="O922" s="86"/>
    </row>
    <row r="923">
      <c r="C923" s="99"/>
      <c r="D923" s="100"/>
      <c r="H923" s="86"/>
      <c r="I923" s="86"/>
      <c r="J923" s="86"/>
      <c r="K923" s="86"/>
      <c r="L923" s="86"/>
      <c r="M923" s="86"/>
      <c r="N923" s="86"/>
      <c r="O923" s="86"/>
    </row>
    <row r="924">
      <c r="C924" s="99"/>
      <c r="D924" s="100"/>
      <c r="H924" s="86"/>
      <c r="I924" s="86"/>
      <c r="J924" s="86"/>
      <c r="K924" s="86"/>
      <c r="L924" s="86"/>
      <c r="M924" s="86"/>
      <c r="N924" s="86"/>
      <c r="O924" s="86"/>
    </row>
    <row r="925">
      <c r="C925" s="99"/>
      <c r="D925" s="100"/>
      <c r="H925" s="86"/>
      <c r="I925" s="86"/>
      <c r="J925" s="86"/>
      <c r="K925" s="86"/>
      <c r="L925" s="86"/>
      <c r="M925" s="86"/>
      <c r="N925" s="86"/>
      <c r="O925" s="86"/>
    </row>
    <row r="926">
      <c r="C926" s="99"/>
      <c r="D926" s="100"/>
      <c r="H926" s="86"/>
      <c r="I926" s="86"/>
      <c r="J926" s="86"/>
      <c r="K926" s="86"/>
      <c r="L926" s="86"/>
      <c r="M926" s="86"/>
      <c r="N926" s="86"/>
      <c r="O926" s="86"/>
    </row>
    <row r="927">
      <c r="C927" s="99"/>
      <c r="D927" s="100"/>
      <c r="H927" s="86"/>
      <c r="I927" s="86"/>
      <c r="J927" s="86"/>
      <c r="K927" s="86"/>
      <c r="L927" s="86"/>
      <c r="M927" s="86"/>
      <c r="N927" s="86"/>
      <c r="O927" s="86"/>
    </row>
    <row r="928">
      <c r="C928" s="99"/>
      <c r="D928" s="100"/>
      <c r="H928" s="86"/>
      <c r="I928" s="86"/>
      <c r="J928" s="86"/>
      <c r="K928" s="86"/>
      <c r="L928" s="86"/>
      <c r="M928" s="86"/>
      <c r="N928" s="86"/>
      <c r="O928" s="86"/>
    </row>
    <row r="929">
      <c r="C929" s="99"/>
      <c r="D929" s="100"/>
      <c r="H929" s="86"/>
      <c r="I929" s="86"/>
      <c r="J929" s="86"/>
      <c r="K929" s="86"/>
      <c r="L929" s="86"/>
      <c r="M929" s="86"/>
      <c r="N929" s="86"/>
      <c r="O929" s="86"/>
    </row>
    <row r="930">
      <c r="C930" s="99"/>
      <c r="D930" s="100"/>
      <c r="H930" s="86"/>
      <c r="I930" s="86"/>
      <c r="J930" s="86"/>
      <c r="K930" s="86"/>
      <c r="L930" s="86"/>
      <c r="M930" s="86"/>
      <c r="N930" s="86"/>
      <c r="O930" s="86"/>
    </row>
    <row r="931">
      <c r="C931" s="99"/>
      <c r="D931" s="100"/>
      <c r="H931" s="86"/>
      <c r="I931" s="86"/>
      <c r="J931" s="86"/>
      <c r="K931" s="86"/>
      <c r="L931" s="86"/>
      <c r="M931" s="86"/>
      <c r="N931" s="86"/>
      <c r="O931" s="86"/>
    </row>
    <row r="932">
      <c r="C932" s="99"/>
      <c r="D932" s="100"/>
      <c r="H932" s="86"/>
      <c r="I932" s="86"/>
      <c r="J932" s="86"/>
      <c r="K932" s="86"/>
      <c r="L932" s="86"/>
      <c r="M932" s="86"/>
      <c r="N932" s="86"/>
      <c r="O932" s="86"/>
    </row>
    <row r="933">
      <c r="C933" s="99"/>
      <c r="D933" s="100"/>
      <c r="H933" s="86"/>
      <c r="I933" s="86"/>
      <c r="J933" s="86"/>
      <c r="K933" s="86"/>
      <c r="L933" s="86"/>
      <c r="M933" s="86"/>
      <c r="N933" s="86"/>
      <c r="O933" s="86"/>
    </row>
    <row r="934">
      <c r="C934" s="99"/>
      <c r="D934" s="100"/>
      <c r="H934" s="86"/>
      <c r="I934" s="86"/>
      <c r="J934" s="86"/>
      <c r="K934" s="86"/>
      <c r="L934" s="86"/>
      <c r="M934" s="86"/>
      <c r="N934" s="86"/>
      <c r="O934" s="86"/>
    </row>
    <row r="935">
      <c r="C935" s="99"/>
      <c r="D935" s="100"/>
      <c r="H935" s="86"/>
      <c r="I935" s="86"/>
      <c r="J935" s="86"/>
      <c r="K935" s="86"/>
      <c r="L935" s="86"/>
      <c r="M935" s="86"/>
      <c r="N935" s="86"/>
      <c r="O935" s="86"/>
    </row>
    <row r="936">
      <c r="C936" s="99"/>
      <c r="D936" s="100"/>
      <c r="H936" s="86"/>
      <c r="I936" s="86"/>
      <c r="J936" s="86"/>
      <c r="K936" s="86"/>
      <c r="L936" s="86"/>
      <c r="M936" s="86"/>
      <c r="N936" s="86"/>
      <c r="O936" s="86"/>
    </row>
    <row r="937">
      <c r="C937" s="99"/>
      <c r="D937" s="100"/>
      <c r="H937" s="86"/>
      <c r="I937" s="86"/>
      <c r="J937" s="86"/>
      <c r="K937" s="86"/>
      <c r="L937" s="86"/>
      <c r="M937" s="86"/>
      <c r="N937" s="86"/>
      <c r="O937" s="86"/>
    </row>
    <row r="938">
      <c r="C938" s="99"/>
      <c r="D938" s="100"/>
      <c r="H938" s="86"/>
      <c r="I938" s="86"/>
      <c r="J938" s="86"/>
      <c r="K938" s="86"/>
      <c r="L938" s="86"/>
      <c r="M938" s="86"/>
      <c r="N938" s="86"/>
      <c r="O938" s="86"/>
    </row>
    <row r="939">
      <c r="C939" s="99"/>
      <c r="D939" s="100"/>
      <c r="H939" s="86"/>
      <c r="I939" s="86"/>
      <c r="J939" s="86"/>
      <c r="K939" s="86"/>
      <c r="L939" s="86"/>
      <c r="M939" s="86"/>
      <c r="N939" s="86"/>
      <c r="O939" s="86"/>
    </row>
    <row r="940">
      <c r="C940" s="99"/>
      <c r="D940" s="100"/>
      <c r="H940" s="86"/>
      <c r="I940" s="86"/>
      <c r="J940" s="86"/>
      <c r="K940" s="86"/>
      <c r="L940" s="86"/>
      <c r="M940" s="86"/>
      <c r="N940" s="86"/>
      <c r="O940" s="86"/>
    </row>
    <row r="941">
      <c r="C941" s="99"/>
      <c r="D941" s="100"/>
      <c r="H941" s="86"/>
      <c r="I941" s="86"/>
      <c r="J941" s="86"/>
      <c r="K941" s="86"/>
      <c r="L941" s="86"/>
      <c r="M941" s="86"/>
      <c r="N941" s="86"/>
      <c r="O941" s="86"/>
    </row>
    <row r="942">
      <c r="C942" s="99"/>
      <c r="D942" s="100"/>
      <c r="H942" s="86"/>
      <c r="I942" s="86"/>
      <c r="J942" s="86"/>
      <c r="K942" s="86"/>
      <c r="L942" s="86"/>
      <c r="M942" s="86"/>
      <c r="N942" s="86"/>
      <c r="O942" s="86"/>
    </row>
    <row r="943">
      <c r="C943" s="99"/>
      <c r="D943" s="100"/>
      <c r="H943" s="86"/>
      <c r="I943" s="86"/>
      <c r="J943" s="86"/>
      <c r="K943" s="86"/>
      <c r="L943" s="86"/>
      <c r="M943" s="86"/>
      <c r="N943" s="86"/>
      <c r="O943" s="86"/>
    </row>
    <row r="944">
      <c r="C944" s="99"/>
      <c r="D944" s="100"/>
      <c r="H944" s="86"/>
      <c r="I944" s="86"/>
      <c r="J944" s="86"/>
      <c r="K944" s="86"/>
      <c r="L944" s="86"/>
      <c r="M944" s="86"/>
      <c r="N944" s="86"/>
      <c r="O944" s="86"/>
    </row>
    <row r="945">
      <c r="C945" s="99"/>
      <c r="D945" s="100"/>
      <c r="H945" s="86"/>
      <c r="I945" s="86"/>
      <c r="J945" s="86"/>
      <c r="K945" s="86"/>
      <c r="L945" s="86"/>
      <c r="M945" s="86"/>
      <c r="N945" s="86"/>
      <c r="O945" s="86"/>
    </row>
    <row r="946">
      <c r="C946" s="99"/>
      <c r="D946" s="100"/>
      <c r="H946" s="86"/>
      <c r="I946" s="86"/>
      <c r="J946" s="86"/>
      <c r="K946" s="86"/>
      <c r="L946" s="86"/>
      <c r="M946" s="86"/>
      <c r="N946" s="86"/>
      <c r="O946" s="86"/>
    </row>
    <row r="947">
      <c r="C947" s="99"/>
      <c r="D947" s="100"/>
      <c r="H947" s="86"/>
      <c r="I947" s="86"/>
      <c r="J947" s="86"/>
      <c r="K947" s="86"/>
      <c r="L947" s="86"/>
      <c r="M947" s="86"/>
      <c r="N947" s="86"/>
      <c r="O947" s="86"/>
    </row>
    <row r="948">
      <c r="C948" s="99"/>
      <c r="D948" s="100"/>
      <c r="H948" s="86"/>
      <c r="I948" s="86"/>
      <c r="J948" s="86"/>
      <c r="K948" s="86"/>
      <c r="L948" s="86"/>
      <c r="M948" s="86"/>
      <c r="N948" s="86"/>
      <c r="O948" s="86"/>
    </row>
    <row r="949">
      <c r="C949" s="99"/>
      <c r="D949" s="100"/>
      <c r="H949" s="86"/>
      <c r="I949" s="86"/>
      <c r="J949" s="86"/>
      <c r="K949" s="86"/>
      <c r="L949" s="86"/>
      <c r="M949" s="86"/>
      <c r="N949" s="86"/>
      <c r="O949" s="86"/>
    </row>
    <row r="950">
      <c r="C950" s="99"/>
      <c r="D950" s="100"/>
      <c r="H950" s="86"/>
      <c r="I950" s="86"/>
      <c r="J950" s="86"/>
      <c r="K950" s="86"/>
      <c r="L950" s="86"/>
      <c r="M950" s="86"/>
      <c r="N950" s="86"/>
      <c r="O950" s="86"/>
    </row>
    <row r="951">
      <c r="C951" s="99"/>
      <c r="D951" s="100"/>
      <c r="H951" s="86"/>
      <c r="I951" s="86"/>
      <c r="J951" s="86"/>
      <c r="K951" s="86"/>
      <c r="L951" s="86"/>
      <c r="M951" s="86"/>
      <c r="N951" s="86"/>
      <c r="O951" s="86"/>
    </row>
    <row r="952">
      <c r="C952" s="99"/>
      <c r="D952" s="100"/>
      <c r="H952" s="86"/>
      <c r="I952" s="86"/>
      <c r="J952" s="86"/>
      <c r="K952" s="86"/>
      <c r="L952" s="86"/>
      <c r="M952" s="86"/>
      <c r="N952" s="86"/>
      <c r="O952" s="86"/>
    </row>
    <row r="953">
      <c r="C953" s="99"/>
      <c r="D953" s="100"/>
      <c r="H953" s="86"/>
      <c r="I953" s="86"/>
      <c r="J953" s="86"/>
      <c r="K953" s="86"/>
      <c r="L953" s="86"/>
      <c r="M953" s="86"/>
      <c r="N953" s="86"/>
      <c r="O953" s="86"/>
    </row>
    <row r="954">
      <c r="C954" s="99"/>
      <c r="D954" s="100"/>
      <c r="H954" s="86"/>
      <c r="I954" s="86"/>
      <c r="J954" s="86"/>
      <c r="K954" s="86"/>
      <c r="L954" s="86"/>
      <c r="M954" s="86"/>
      <c r="N954" s="86"/>
      <c r="O954" s="86"/>
    </row>
    <row r="955">
      <c r="C955" s="99"/>
      <c r="D955" s="100"/>
      <c r="H955" s="86"/>
      <c r="I955" s="86"/>
      <c r="J955" s="86"/>
      <c r="K955" s="86"/>
      <c r="L955" s="86"/>
      <c r="M955" s="86"/>
      <c r="N955" s="86"/>
      <c r="O955" s="86"/>
    </row>
    <row r="956">
      <c r="C956" s="99"/>
      <c r="D956" s="100"/>
      <c r="H956" s="86"/>
      <c r="I956" s="86"/>
      <c r="J956" s="86"/>
      <c r="K956" s="86"/>
      <c r="L956" s="86"/>
      <c r="M956" s="86"/>
      <c r="N956" s="86"/>
      <c r="O956" s="86"/>
    </row>
    <row r="957">
      <c r="C957" s="99"/>
      <c r="D957" s="100"/>
      <c r="H957" s="86"/>
      <c r="I957" s="86"/>
      <c r="J957" s="86"/>
      <c r="K957" s="86"/>
      <c r="L957" s="86"/>
      <c r="M957" s="86"/>
      <c r="N957" s="86"/>
      <c r="O957" s="86"/>
    </row>
    <row r="958">
      <c r="C958" s="99"/>
      <c r="D958" s="100"/>
      <c r="H958" s="86"/>
      <c r="I958" s="86"/>
      <c r="J958" s="86"/>
      <c r="K958" s="86"/>
      <c r="L958" s="86"/>
      <c r="M958" s="86"/>
      <c r="N958" s="86"/>
      <c r="O958" s="86"/>
    </row>
    <row r="959">
      <c r="C959" s="99"/>
      <c r="D959" s="100"/>
      <c r="H959" s="86"/>
      <c r="I959" s="86"/>
      <c r="J959" s="86"/>
      <c r="K959" s="86"/>
      <c r="L959" s="86"/>
      <c r="M959" s="86"/>
      <c r="N959" s="86"/>
      <c r="O959" s="86"/>
    </row>
    <row r="960">
      <c r="C960" s="99"/>
      <c r="D960" s="100"/>
      <c r="H960" s="86"/>
      <c r="I960" s="86"/>
      <c r="J960" s="86"/>
      <c r="K960" s="86"/>
      <c r="L960" s="86"/>
      <c r="M960" s="86"/>
      <c r="N960" s="86"/>
      <c r="O960" s="86"/>
    </row>
    <row r="961">
      <c r="C961" s="99"/>
      <c r="D961" s="100"/>
      <c r="H961" s="86"/>
      <c r="I961" s="86"/>
      <c r="J961" s="86"/>
      <c r="K961" s="86"/>
      <c r="L961" s="86"/>
      <c r="M961" s="86"/>
      <c r="N961" s="86"/>
      <c r="O961" s="86"/>
    </row>
    <row r="962">
      <c r="C962" s="99"/>
      <c r="D962" s="100"/>
      <c r="H962" s="86"/>
      <c r="I962" s="86"/>
      <c r="J962" s="86"/>
      <c r="K962" s="86"/>
      <c r="L962" s="86"/>
      <c r="M962" s="86"/>
      <c r="N962" s="86"/>
      <c r="O962" s="86"/>
    </row>
    <row r="963">
      <c r="C963" s="99"/>
      <c r="D963" s="100"/>
      <c r="H963" s="86"/>
      <c r="I963" s="86"/>
      <c r="J963" s="86"/>
      <c r="K963" s="86"/>
      <c r="L963" s="86"/>
      <c r="M963" s="86"/>
      <c r="N963" s="86"/>
      <c r="O963" s="86"/>
    </row>
    <row r="964">
      <c r="C964" s="99"/>
      <c r="D964" s="100"/>
      <c r="H964" s="86"/>
      <c r="I964" s="86"/>
      <c r="J964" s="86"/>
      <c r="K964" s="86"/>
      <c r="L964" s="86"/>
      <c r="M964" s="86"/>
      <c r="N964" s="86"/>
      <c r="O964" s="86"/>
    </row>
    <row r="965">
      <c r="C965" s="99"/>
      <c r="D965" s="100"/>
      <c r="H965" s="86"/>
      <c r="I965" s="86"/>
      <c r="J965" s="86"/>
      <c r="K965" s="86"/>
      <c r="L965" s="86"/>
      <c r="M965" s="86"/>
      <c r="N965" s="86"/>
      <c r="O965" s="86"/>
    </row>
    <row r="966">
      <c r="C966" s="99"/>
      <c r="D966" s="100"/>
      <c r="H966" s="86"/>
      <c r="I966" s="86"/>
      <c r="J966" s="86"/>
      <c r="K966" s="86"/>
      <c r="L966" s="86"/>
      <c r="M966" s="86"/>
      <c r="N966" s="86"/>
      <c r="O966" s="86"/>
    </row>
    <row r="967">
      <c r="C967" s="99"/>
      <c r="D967" s="100"/>
      <c r="H967" s="86"/>
      <c r="I967" s="86"/>
      <c r="J967" s="86"/>
      <c r="K967" s="86"/>
      <c r="L967" s="86"/>
      <c r="M967" s="86"/>
      <c r="N967" s="86"/>
      <c r="O967" s="86"/>
    </row>
    <row r="968">
      <c r="C968" s="99"/>
      <c r="D968" s="100"/>
      <c r="H968" s="86"/>
      <c r="I968" s="86"/>
      <c r="J968" s="86"/>
      <c r="K968" s="86"/>
      <c r="L968" s="86"/>
      <c r="M968" s="86"/>
      <c r="N968" s="86"/>
      <c r="O968" s="86"/>
    </row>
    <row r="969">
      <c r="C969" s="99"/>
      <c r="D969" s="100"/>
      <c r="H969" s="86"/>
      <c r="I969" s="86"/>
      <c r="J969" s="86"/>
      <c r="K969" s="86"/>
      <c r="L969" s="86"/>
      <c r="M969" s="86"/>
      <c r="N969" s="86"/>
      <c r="O969" s="86"/>
    </row>
    <row r="970">
      <c r="C970" s="99"/>
      <c r="D970" s="100"/>
      <c r="H970" s="86"/>
      <c r="I970" s="86"/>
      <c r="J970" s="86"/>
      <c r="K970" s="86"/>
      <c r="L970" s="86"/>
      <c r="M970" s="86"/>
      <c r="N970" s="86"/>
      <c r="O970" s="86"/>
    </row>
    <row r="971">
      <c r="C971" s="99"/>
      <c r="D971" s="100"/>
      <c r="H971" s="86"/>
      <c r="I971" s="86"/>
      <c r="J971" s="86"/>
      <c r="K971" s="86"/>
      <c r="L971" s="86"/>
      <c r="M971" s="86"/>
      <c r="N971" s="86"/>
      <c r="O971" s="86"/>
    </row>
    <row r="972">
      <c r="C972" s="99"/>
      <c r="D972" s="100"/>
      <c r="H972" s="86"/>
      <c r="I972" s="86"/>
      <c r="J972" s="86"/>
      <c r="K972" s="86"/>
      <c r="L972" s="86"/>
      <c r="M972" s="86"/>
      <c r="N972" s="86"/>
      <c r="O972" s="86"/>
    </row>
    <row r="973">
      <c r="C973" s="99"/>
      <c r="D973" s="100"/>
      <c r="H973" s="86"/>
      <c r="I973" s="86"/>
      <c r="J973" s="86"/>
      <c r="K973" s="86"/>
      <c r="L973" s="86"/>
      <c r="M973" s="86"/>
      <c r="N973" s="86"/>
      <c r="O973" s="86"/>
    </row>
    <row r="974">
      <c r="C974" s="99"/>
      <c r="D974" s="100"/>
      <c r="H974" s="86"/>
      <c r="I974" s="86"/>
      <c r="J974" s="86"/>
      <c r="K974" s="86"/>
      <c r="L974" s="86"/>
      <c r="M974" s="86"/>
      <c r="N974" s="86"/>
      <c r="O974" s="86"/>
    </row>
    <row r="975">
      <c r="C975" s="99"/>
      <c r="D975" s="100"/>
      <c r="H975" s="86"/>
      <c r="I975" s="86"/>
      <c r="J975" s="86"/>
      <c r="K975" s="86"/>
      <c r="L975" s="86"/>
      <c r="M975" s="86"/>
      <c r="N975" s="86"/>
      <c r="O975" s="86"/>
    </row>
    <row r="976">
      <c r="C976" s="99"/>
      <c r="D976" s="100"/>
      <c r="H976" s="86"/>
      <c r="I976" s="86"/>
      <c r="J976" s="86"/>
      <c r="K976" s="86"/>
      <c r="L976" s="86"/>
      <c r="M976" s="86"/>
      <c r="N976" s="86"/>
      <c r="O976" s="86"/>
    </row>
    <row r="977">
      <c r="C977" s="99"/>
      <c r="D977" s="100"/>
      <c r="H977" s="86"/>
      <c r="I977" s="86"/>
      <c r="J977" s="86"/>
      <c r="K977" s="86"/>
      <c r="L977" s="86"/>
      <c r="M977" s="86"/>
      <c r="N977" s="86"/>
      <c r="O977" s="86"/>
    </row>
    <row r="978">
      <c r="C978" s="99"/>
      <c r="D978" s="100"/>
      <c r="H978" s="86"/>
      <c r="I978" s="86"/>
      <c r="J978" s="86"/>
      <c r="K978" s="86"/>
      <c r="L978" s="86"/>
      <c r="M978" s="86"/>
      <c r="N978" s="86"/>
      <c r="O978" s="86"/>
    </row>
    <row r="979">
      <c r="C979" s="99"/>
      <c r="D979" s="100"/>
      <c r="H979" s="86"/>
      <c r="I979" s="86"/>
      <c r="J979" s="86"/>
      <c r="K979" s="86"/>
      <c r="L979" s="86"/>
      <c r="M979" s="86"/>
      <c r="N979" s="86"/>
      <c r="O979" s="86"/>
    </row>
    <row r="980">
      <c r="C980" s="99"/>
      <c r="D980" s="100"/>
      <c r="H980" s="86"/>
      <c r="I980" s="86"/>
      <c r="J980" s="86"/>
      <c r="K980" s="86"/>
      <c r="L980" s="86"/>
      <c r="M980" s="86"/>
      <c r="N980" s="86"/>
      <c r="O980" s="86"/>
    </row>
    <row r="981">
      <c r="C981" s="99"/>
      <c r="D981" s="100"/>
      <c r="H981" s="86"/>
      <c r="I981" s="86"/>
      <c r="J981" s="86"/>
      <c r="K981" s="86"/>
      <c r="L981" s="86"/>
      <c r="M981" s="86"/>
      <c r="N981" s="86"/>
      <c r="O981" s="86"/>
    </row>
    <row r="982">
      <c r="C982" s="99"/>
      <c r="D982" s="100"/>
      <c r="H982" s="86"/>
      <c r="I982" s="86"/>
      <c r="J982" s="86"/>
      <c r="K982" s="86"/>
      <c r="L982" s="86"/>
      <c r="M982" s="86"/>
      <c r="N982" s="86"/>
      <c r="O982" s="86"/>
    </row>
    <row r="983">
      <c r="C983" s="99"/>
      <c r="D983" s="100"/>
      <c r="H983" s="86"/>
      <c r="I983" s="86"/>
      <c r="J983" s="86"/>
      <c r="K983" s="86"/>
      <c r="L983" s="86"/>
      <c r="M983" s="86"/>
      <c r="N983" s="86"/>
      <c r="O983" s="86"/>
    </row>
    <row r="984">
      <c r="C984" s="99"/>
      <c r="D984" s="100"/>
      <c r="H984" s="86"/>
      <c r="I984" s="86"/>
      <c r="J984" s="86"/>
      <c r="K984" s="86"/>
      <c r="L984" s="86"/>
      <c r="M984" s="86"/>
      <c r="N984" s="86"/>
      <c r="O984" s="86"/>
    </row>
    <row r="985">
      <c r="C985" s="99"/>
      <c r="D985" s="100"/>
      <c r="H985" s="86"/>
      <c r="I985" s="86"/>
      <c r="J985" s="86"/>
      <c r="K985" s="86"/>
      <c r="L985" s="86"/>
      <c r="M985" s="86"/>
      <c r="N985" s="86"/>
      <c r="O985" s="86"/>
    </row>
    <row r="986">
      <c r="C986" s="99"/>
      <c r="D986" s="100"/>
      <c r="H986" s="86"/>
      <c r="I986" s="86"/>
      <c r="J986" s="86"/>
      <c r="K986" s="86"/>
      <c r="L986" s="86"/>
      <c r="M986" s="86"/>
      <c r="N986" s="86"/>
      <c r="O986" s="86"/>
    </row>
    <row r="987">
      <c r="C987" s="99"/>
      <c r="D987" s="100"/>
      <c r="H987" s="86"/>
      <c r="I987" s="86"/>
      <c r="J987" s="86"/>
      <c r="K987" s="86"/>
      <c r="L987" s="86"/>
      <c r="M987" s="86"/>
      <c r="N987" s="86"/>
      <c r="O987" s="86"/>
    </row>
    <row r="988">
      <c r="C988" s="99"/>
      <c r="D988" s="100"/>
      <c r="H988" s="86"/>
      <c r="I988" s="86"/>
      <c r="J988" s="86"/>
      <c r="K988" s="86"/>
      <c r="L988" s="86"/>
      <c r="M988" s="86"/>
      <c r="N988" s="86"/>
      <c r="O988" s="86"/>
    </row>
    <row r="989">
      <c r="C989" s="99"/>
      <c r="D989" s="100"/>
      <c r="H989" s="86"/>
      <c r="I989" s="86"/>
      <c r="J989" s="86"/>
      <c r="K989" s="86"/>
      <c r="L989" s="86"/>
      <c r="M989" s="86"/>
      <c r="N989" s="86"/>
      <c r="O989" s="86"/>
    </row>
    <row r="990">
      <c r="C990" s="99"/>
      <c r="D990" s="100"/>
      <c r="H990" s="86"/>
      <c r="I990" s="86"/>
      <c r="J990" s="86"/>
      <c r="K990" s="86"/>
      <c r="L990" s="86"/>
      <c r="M990" s="86"/>
      <c r="N990" s="86"/>
      <c r="O990" s="86"/>
    </row>
    <row r="991">
      <c r="C991" s="99"/>
      <c r="D991" s="100"/>
      <c r="H991" s="86"/>
      <c r="I991" s="86"/>
      <c r="J991" s="86"/>
      <c r="K991" s="86"/>
      <c r="L991" s="86"/>
      <c r="M991" s="86"/>
      <c r="N991" s="86"/>
      <c r="O991" s="86"/>
    </row>
    <row r="992">
      <c r="C992" s="99"/>
      <c r="D992" s="100"/>
      <c r="H992" s="86"/>
      <c r="I992" s="86"/>
      <c r="J992" s="86"/>
      <c r="K992" s="86"/>
      <c r="L992" s="86"/>
      <c r="M992" s="86"/>
      <c r="N992" s="86"/>
      <c r="O992" s="86"/>
    </row>
    <row r="993">
      <c r="C993" s="99"/>
      <c r="D993" s="100"/>
      <c r="H993" s="86"/>
      <c r="I993" s="86"/>
      <c r="J993" s="86"/>
      <c r="K993" s="86"/>
      <c r="L993" s="86"/>
      <c r="M993" s="86"/>
      <c r="N993" s="86"/>
      <c r="O993" s="86"/>
    </row>
    <row r="994">
      <c r="C994" s="99"/>
      <c r="D994" s="100"/>
      <c r="H994" s="86"/>
      <c r="I994" s="86"/>
      <c r="J994" s="86"/>
      <c r="K994" s="86"/>
      <c r="L994" s="86"/>
      <c r="M994" s="86"/>
      <c r="N994" s="86"/>
      <c r="O994" s="86"/>
    </row>
    <row r="995">
      <c r="C995" s="99"/>
      <c r="D995" s="100"/>
      <c r="H995" s="86"/>
      <c r="I995" s="86"/>
      <c r="J995" s="86"/>
      <c r="K995" s="86"/>
      <c r="L995" s="86"/>
      <c r="M995" s="86"/>
      <c r="N995" s="86"/>
      <c r="O995" s="86"/>
    </row>
    <row r="996">
      <c r="C996" s="99"/>
      <c r="D996" s="100"/>
      <c r="H996" s="86"/>
      <c r="I996" s="86"/>
      <c r="J996" s="86"/>
      <c r="K996" s="86"/>
      <c r="L996" s="86"/>
      <c r="M996" s="86"/>
      <c r="N996" s="86"/>
      <c r="O996" s="86"/>
    </row>
    <row r="997">
      <c r="C997" s="99"/>
      <c r="D997" s="100"/>
      <c r="H997" s="86"/>
      <c r="I997" s="86"/>
      <c r="J997" s="86"/>
      <c r="K997" s="86"/>
      <c r="L997" s="86"/>
      <c r="M997" s="86"/>
      <c r="N997" s="86"/>
      <c r="O997" s="86"/>
    </row>
    <row r="998">
      <c r="C998" s="99"/>
      <c r="D998" s="100"/>
      <c r="H998" s="86"/>
      <c r="I998" s="86"/>
      <c r="J998" s="86"/>
      <c r="K998" s="86"/>
      <c r="L998" s="86"/>
      <c r="M998" s="86"/>
      <c r="N998" s="86"/>
      <c r="O998" s="86"/>
    </row>
    <row r="999">
      <c r="C999" s="99"/>
      <c r="D999" s="100"/>
      <c r="H999" s="86"/>
      <c r="I999" s="86"/>
      <c r="J999" s="86"/>
      <c r="K999" s="86"/>
      <c r="L999" s="86"/>
      <c r="M999" s="86"/>
      <c r="N999" s="86"/>
      <c r="O999" s="86"/>
    </row>
    <row r="1000">
      <c r="C1000" s="99"/>
      <c r="D1000" s="100"/>
      <c r="H1000" s="86"/>
      <c r="I1000" s="86"/>
      <c r="J1000" s="86"/>
      <c r="K1000" s="86"/>
      <c r="L1000" s="86"/>
      <c r="M1000" s="86"/>
      <c r="N1000" s="86"/>
      <c r="O1000" s="86"/>
    </row>
    <row r="1001">
      <c r="C1001" s="99"/>
      <c r="D1001" s="100"/>
      <c r="H1001" s="86"/>
      <c r="I1001" s="86"/>
      <c r="J1001" s="86"/>
      <c r="K1001" s="86"/>
      <c r="L1001" s="86"/>
      <c r="M1001" s="86"/>
      <c r="N1001" s="86"/>
      <c r="O1001" s="86"/>
    </row>
    <row r="1002">
      <c r="C1002" s="99"/>
      <c r="D1002" s="100"/>
      <c r="H1002" s="86"/>
      <c r="I1002" s="86"/>
      <c r="J1002" s="86"/>
      <c r="K1002" s="86"/>
      <c r="L1002" s="86"/>
      <c r="M1002" s="86"/>
      <c r="N1002" s="86"/>
      <c r="O1002" s="86"/>
    </row>
    <row r="1003">
      <c r="C1003" s="99"/>
      <c r="D1003" s="100"/>
      <c r="H1003" s="86"/>
      <c r="I1003" s="86"/>
      <c r="J1003" s="86"/>
      <c r="K1003" s="86"/>
      <c r="L1003" s="86"/>
      <c r="M1003" s="86"/>
      <c r="N1003" s="86"/>
      <c r="O1003" s="86"/>
    </row>
    <row r="1004">
      <c r="C1004" s="99"/>
      <c r="D1004" s="100"/>
      <c r="H1004" s="86"/>
      <c r="I1004" s="86"/>
      <c r="J1004" s="86"/>
      <c r="K1004" s="86"/>
      <c r="L1004" s="86"/>
      <c r="M1004" s="86"/>
      <c r="N1004" s="86"/>
      <c r="O1004" s="86"/>
    </row>
    <row r="1005">
      <c r="C1005" s="99"/>
      <c r="D1005" s="100"/>
      <c r="H1005" s="86"/>
      <c r="I1005" s="86"/>
      <c r="J1005" s="86"/>
      <c r="K1005" s="86"/>
      <c r="L1005" s="86"/>
      <c r="M1005" s="86"/>
      <c r="N1005" s="86"/>
      <c r="O1005" s="86"/>
    </row>
    <row r="1006">
      <c r="C1006" s="99"/>
      <c r="D1006" s="100"/>
      <c r="H1006" s="86"/>
      <c r="I1006" s="86"/>
      <c r="J1006" s="86"/>
      <c r="K1006" s="86"/>
      <c r="L1006" s="86"/>
      <c r="M1006" s="86"/>
      <c r="N1006" s="86"/>
      <c r="O1006" s="86"/>
    </row>
    <row r="1007">
      <c r="C1007" s="99"/>
      <c r="D1007" s="100"/>
      <c r="H1007" s="86"/>
      <c r="I1007" s="86"/>
      <c r="J1007" s="86"/>
      <c r="K1007" s="86"/>
      <c r="L1007" s="86"/>
      <c r="M1007" s="86"/>
      <c r="N1007" s="86"/>
      <c r="O1007" s="86"/>
    </row>
    <row r="1008">
      <c r="C1008" s="99"/>
      <c r="D1008" s="100"/>
      <c r="H1008" s="86"/>
      <c r="I1008" s="86"/>
      <c r="J1008" s="86"/>
      <c r="K1008" s="86"/>
      <c r="L1008" s="86"/>
      <c r="M1008" s="86"/>
      <c r="N1008" s="86"/>
      <c r="O1008" s="86"/>
    </row>
    <row r="1009">
      <c r="C1009" s="99"/>
      <c r="D1009" s="100"/>
      <c r="H1009" s="86"/>
      <c r="I1009" s="86"/>
      <c r="J1009" s="86"/>
      <c r="K1009" s="86"/>
      <c r="L1009" s="86"/>
      <c r="M1009" s="86"/>
      <c r="N1009" s="86"/>
      <c r="O1009" s="86"/>
    </row>
  </sheetData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21.0"/>
    <col customWidth="1" min="3" max="3" width="16.5"/>
    <col customWidth="1" min="4" max="4" width="18.63"/>
    <col customWidth="1" min="5" max="5" width="18.88"/>
    <col customWidth="1" min="6" max="6" width="25.75"/>
  </cols>
  <sheetData>
    <row r="1">
      <c r="A1" s="116" t="s">
        <v>195</v>
      </c>
      <c r="B1" s="116" t="s">
        <v>196</v>
      </c>
      <c r="C1" s="128" t="s">
        <v>197</v>
      </c>
      <c r="D1" s="116" t="s">
        <v>198</v>
      </c>
      <c r="E1" s="112" t="s">
        <v>199</v>
      </c>
      <c r="F1" s="112" t="s">
        <v>200</v>
      </c>
    </row>
    <row r="2">
      <c r="A2" s="131"/>
      <c r="B2" s="106" t="s">
        <v>23</v>
      </c>
      <c r="C2" s="116" t="s">
        <v>145</v>
      </c>
      <c r="D2" s="116" t="s">
        <v>145</v>
      </c>
      <c r="E2" s="112">
        <v>0.0</v>
      </c>
      <c r="F2" s="112"/>
    </row>
    <row r="3">
      <c r="A3" s="106" t="s">
        <v>151</v>
      </c>
      <c r="B3" s="118" t="s">
        <v>201</v>
      </c>
      <c r="C3" s="128">
        <v>3.03</v>
      </c>
      <c r="D3" s="128">
        <f>('range calculator'!$I$31*4.25+'range calculator'!$H$31*2)*550/200</f>
        <v>8480.3125</v>
      </c>
      <c r="E3" s="132">
        <f t="shared" ref="E3:E7" si="1">D3/C3</f>
        <v>2798.783003</v>
      </c>
      <c r="F3" s="112"/>
      <c r="I3" s="10" t="s">
        <v>202</v>
      </c>
    </row>
    <row r="4">
      <c r="A4" s="106" t="s">
        <v>158</v>
      </c>
      <c r="B4" s="118" t="s">
        <v>203</v>
      </c>
      <c r="C4" s="128">
        <v>3.03</v>
      </c>
      <c r="D4" s="128">
        <f>('range calculator'!$I$31*4.25+'range calculator'!$H$31*2)*500/200</f>
        <v>7709.375</v>
      </c>
      <c r="E4" s="132">
        <f t="shared" si="1"/>
        <v>2544.348185</v>
      </c>
      <c r="F4" s="112"/>
      <c r="I4" s="10" t="s">
        <v>204</v>
      </c>
    </row>
    <row r="5">
      <c r="A5" s="107" t="s">
        <v>205</v>
      </c>
      <c r="B5" s="107" t="s">
        <v>206</v>
      </c>
      <c r="C5" s="116">
        <v>3.03</v>
      </c>
      <c r="D5" s="110">
        <f>300*'range calculator'!$D$20/1.4/1.25</f>
        <v>3022114.286</v>
      </c>
      <c r="E5" s="132">
        <f t="shared" si="1"/>
        <v>997397.454</v>
      </c>
      <c r="F5" s="112"/>
      <c r="I5" s="10" t="s">
        <v>207</v>
      </c>
    </row>
    <row r="6">
      <c r="A6" s="107" t="s">
        <v>205</v>
      </c>
      <c r="B6" s="107" t="s">
        <v>208</v>
      </c>
      <c r="C6" s="116">
        <v>3.03</v>
      </c>
      <c r="D6" s="110">
        <f>270*'range calculator'!$D$20/1.4/1.25</f>
        <v>2719902.857</v>
      </c>
      <c r="E6" s="132">
        <f t="shared" si="1"/>
        <v>897657.7086</v>
      </c>
      <c r="F6" s="112"/>
      <c r="I6" s="10" t="s">
        <v>209</v>
      </c>
    </row>
    <row r="7">
      <c r="A7" s="107" t="s">
        <v>183</v>
      </c>
      <c r="B7" s="107" t="s">
        <v>210</v>
      </c>
      <c r="C7" s="116">
        <v>3.03</v>
      </c>
      <c r="D7" s="110">
        <f>230*'range calculator'!$D$20</f>
        <v>4054670</v>
      </c>
      <c r="E7" s="132">
        <f t="shared" si="1"/>
        <v>1338174.917</v>
      </c>
      <c r="F7" s="112"/>
      <c r="I7" s="10" t="s">
        <v>211</v>
      </c>
    </row>
    <row r="8">
      <c r="F8" s="86"/>
    </row>
    <row r="9">
      <c r="B9" s="101"/>
      <c r="D9" s="101"/>
      <c r="E9" s="101"/>
      <c r="F9" s="86"/>
    </row>
    <row r="10">
      <c r="F10" s="86"/>
    </row>
    <row r="11">
      <c r="F11" s="86"/>
    </row>
    <row r="12">
      <c r="F12" s="86"/>
    </row>
    <row r="13">
      <c r="F13" s="86"/>
    </row>
    <row r="14">
      <c r="F14" s="86"/>
    </row>
    <row r="15">
      <c r="F15" s="86"/>
    </row>
    <row r="16">
      <c r="F16" s="86"/>
    </row>
    <row r="17">
      <c r="F17" s="86"/>
    </row>
  </sheetData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212</v>
      </c>
      <c r="B1" s="10" t="s">
        <v>213</v>
      </c>
    </row>
    <row r="2">
      <c r="A2" s="10">
        <v>0.0</v>
      </c>
      <c r="B2" s="10">
        <v>1.0</v>
      </c>
    </row>
    <row r="3">
      <c r="A3" s="10">
        <v>1.0</v>
      </c>
      <c r="B3" s="10">
        <v>1.01</v>
      </c>
    </row>
    <row r="4">
      <c r="A4" s="10">
        <v>2.0</v>
      </c>
      <c r="B4" s="10">
        <v>1.01</v>
      </c>
    </row>
    <row r="5">
      <c r="A5" s="10">
        <v>3.0</v>
      </c>
      <c r="B5" s="10">
        <v>1.02</v>
      </c>
    </row>
    <row r="6">
      <c r="A6" s="10">
        <v>4.0</v>
      </c>
      <c r="B6" s="10">
        <v>1.02</v>
      </c>
    </row>
    <row r="7">
      <c r="A7" s="10">
        <v>5.0</v>
      </c>
      <c r="B7" s="10">
        <v>1.03</v>
      </c>
    </row>
    <row r="8">
      <c r="A8" s="10">
        <v>6.0</v>
      </c>
      <c r="B8" s="10">
        <v>1.03</v>
      </c>
    </row>
    <row r="9">
      <c r="A9" s="10">
        <v>7.0</v>
      </c>
      <c r="B9" s="10">
        <v>1.04</v>
      </c>
    </row>
    <row r="10">
      <c r="A10" s="10">
        <v>8.0</v>
      </c>
      <c r="B10" s="10">
        <v>1.04</v>
      </c>
    </row>
    <row r="11">
      <c r="A11" s="10">
        <v>9.0</v>
      </c>
      <c r="B11" s="10">
        <v>1.05</v>
      </c>
    </row>
    <row r="12">
      <c r="A12" s="10">
        <v>10.0</v>
      </c>
      <c r="B12" s="10">
        <v>1.05</v>
      </c>
    </row>
    <row r="13">
      <c r="A13" s="10">
        <v>11.0</v>
      </c>
      <c r="B13" s="10">
        <v>1.06</v>
      </c>
    </row>
    <row r="14">
      <c r="A14" s="10">
        <v>12.0</v>
      </c>
      <c r="B14" s="10">
        <v>1.06</v>
      </c>
    </row>
    <row r="15">
      <c r="A15" s="10">
        <v>13.0</v>
      </c>
      <c r="B15" s="10">
        <v>1.07</v>
      </c>
    </row>
    <row r="16">
      <c r="A16" s="10">
        <v>14.0</v>
      </c>
      <c r="B16" s="10">
        <v>1.07</v>
      </c>
    </row>
    <row r="17">
      <c r="A17" s="10">
        <v>15.0</v>
      </c>
      <c r="B17" s="10">
        <v>1.08</v>
      </c>
    </row>
    <row r="18">
      <c r="A18" s="10">
        <v>16.0</v>
      </c>
      <c r="B18" s="10">
        <v>1.08</v>
      </c>
    </row>
    <row r="19">
      <c r="A19" s="10">
        <v>17.0</v>
      </c>
      <c r="B19" s="10">
        <v>1.09</v>
      </c>
    </row>
    <row r="20">
      <c r="A20" s="10">
        <v>18.0</v>
      </c>
      <c r="B20" s="10">
        <v>1.09</v>
      </c>
    </row>
    <row r="21">
      <c r="A21" s="10">
        <v>19.0</v>
      </c>
      <c r="B21" s="10">
        <v>1.1</v>
      </c>
    </row>
    <row r="22">
      <c r="A22" s="10">
        <v>20.0</v>
      </c>
      <c r="B22" s="10">
        <v>1.1</v>
      </c>
    </row>
    <row r="23">
      <c r="A23" s="10">
        <v>21.0</v>
      </c>
      <c r="B23" s="10">
        <v>1.11</v>
      </c>
    </row>
    <row r="24">
      <c r="A24" s="10">
        <v>22.0</v>
      </c>
      <c r="B24" s="10">
        <v>1.11</v>
      </c>
    </row>
    <row r="25">
      <c r="A25" s="10">
        <v>23.0</v>
      </c>
      <c r="B25" s="10">
        <v>1.12</v>
      </c>
    </row>
    <row r="26">
      <c r="A26" s="10">
        <v>24.0</v>
      </c>
      <c r="B26" s="10">
        <v>1.12</v>
      </c>
    </row>
    <row r="27">
      <c r="A27" s="10">
        <v>25.0</v>
      </c>
      <c r="B27" s="10">
        <v>1.13</v>
      </c>
    </row>
    <row r="28">
      <c r="A28" s="10">
        <v>26.0</v>
      </c>
      <c r="B28" s="10">
        <v>1.13</v>
      </c>
    </row>
    <row r="29">
      <c r="A29" s="10">
        <v>27.0</v>
      </c>
      <c r="B29" s="10">
        <v>1.14</v>
      </c>
    </row>
    <row r="30">
      <c r="A30" s="10">
        <v>28.0</v>
      </c>
      <c r="B30" s="10">
        <v>1.14</v>
      </c>
    </row>
    <row r="31">
      <c r="A31" s="10">
        <v>29.0</v>
      </c>
      <c r="B31" s="10">
        <v>1.15</v>
      </c>
    </row>
    <row r="32">
      <c r="A32" s="10">
        <v>30.0</v>
      </c>
      <c r="B32" s="10">
        <v>1.15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3"/>
      <c r="B1" s="134" t="s">
        <v>153</v>
      </c>
      <c r="C1" s="134" t="s">
        <v>168</v>
      </c>
      <c r="D1" s="134" t="s">
        <v>151</v>
      </c>
      <c r="E1" s="134" t="s">
        <v>158</v>
      </c>
      <c r="F1" s="134" t="s">
        <v>11</v>
      </c>
      <c r="G1" s="134" t="s">
        <v>148</v>
      </c>
      <c r="H1" s="134" t="s">
        <v>143</v>
      </c>
      <c r="I1" s="134" t="s">
        <v>161</v>
      </c>
      <c r="J1" s="134" t="s">
        <v>186</v>
      </c>
      <c r="K1" s="134" t="s">
        <v>177</v>
      </c>
      <c r="L1" s="134" t="s">
        <v>183</v>
      </c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>
      <c r="A2" s="133"/>
      <c r="B2" s="134" t="s">
        <v>214</v>
      </c>
      <c r="C2" s="134" t="s">
        <v>214</v>
      </c>
      <c r="D2" s="134"/>
      <c r="E2" s="134"/>
      <c r="F2" s="134"/>
      <c r="G2" s="134"/>
      <c r="H2" s="134"/>
      <c r="I2" s="134"/>
      <c r="J2" s="134"/>
      <c r="K2" s="134"/>
      <c r="L2" s="134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>
      <c r="A3" s="133"/>
      <c r="B3" s="134" t="s">
        <v>215</v>
      </c>
      <c r="C3" s="134" t="s">
        <v>215</v>
      </c>
      <c r="D3" s="133"/>
      <c r="E3" s="133"/>
      <c r="F3" s="134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33"/>
      <c r="B4" s="134" t="s">
        <v>216</v>
      </c>
      <c r="C4" s="134" t="s">
        <v>217</v>
      </c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33"/>
      <c r="B5" s="134" t="s">
        <v>218</v>
      </c>
      <c r="C5" s="134" t="s">
        <v>219</v>
      </c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3"/>
      <c r="B7" s="133"/>
      <c r="C7" s="133"/>
      <c r="D7" s="133"/>
      <c r="E7" s="134" t="s">
        <v>220</v>
      </c>
      <c r="F7" s="134" t="s">
        <v>221</v>
      </c>
      <c r="G7" s="133"/>
      <c r="H7" s="10" t="s">
        <v>222</v>
      </c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3"/>
      <c r="B8" s="134" t="s">
        <v>142</v>
      </c>
      <c r="C8" s="133"/>
      <c r="D8" s="134" t="s">
        <v>216</v>
      </c>
      <c r="E8" s="10">
        <v>4.4</v>
      </c>
      <c r="F8" s="134">
        <v>3.2</v>
      </c>
      <c r="G8" s="133"/>
      <c r="H8" s="10" t="s">
        <v>223</v>
      </c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133"/>
      <c r="B9" s="135" t="str">
        <f>IFERROR(__xludf.DUMMYFUNCTION("SORT(FILTER(B2:Z5,'range calculator'!$D$5=$B$1:Z1),2,TRUE)"),"")</f>
        <v/>
      </c>
      <c r="C9" s="136"/>
      <c r="D9" s="134" t="s">
        <v>218</v>
      </c>
      <c r="E9" s="10">
        <v>4.8</v>
      </c>
      <c r="F9" s="134">
        <v>3.4</v>
      </c>
      <c r="G9" s="133"/>
      <c r="H9" s="10" t="s">
        <v>224</v>
      </c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>
      <c r="A10" s="133"/>
      <c r="B10" s="133"/>
      <c r="C10" s="133"/>
      <c r="D10" s="134" t="s">
        <v>217</v>
      </c>
      <c r="E10" s="134">
        <v>4.4</v>
      </c>
      <c r="F10" s="134">
        <v>3.2</v>
      </c>
      <c r="G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>
      <c r="A11" s="133"/>
      <c r="B11" s="133"/>
      <c r="C11" s="133"/>
      <c r="D11" s="134" t="s">
        <v>219</v>
      </c>
      <c r="E11" s="134">
        <v>4.8</v>
      </c>
      <c r="F11" s="134">
        <v>3.4</v>
      </c>
      <c r="G11" s="133"/>
      <c r="H11" s="10" t="s">
        <v>225</v>
      </c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>
      <c r="A12" s="133"/>
      <c r="B12" s="133"/>
      <c r="C12" s="133"/>
      <c r="D12" s="134" t="s">
        <v>214</v>
      </c>
      <c r="E12" s="134">
        <v>4.0</v>
      </c>
      <c r="F12" s="134">
        <v>4.0</v>
      </c>
      <c r="G12" s="133"/>
      <c r="H12" s="10" t="s">
        <v>226</v>
      </c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>
      <c r="A13" s="133"/>
      <c r="B13" s="133"/>
      <c r="C13" s="133"/>
      <c r="D13" s="134" t="s">
        <v>215</v>
      </c>
      <c r="E13" s="134">
        <v>4.6</v>
      </c>
      <c r="F13" s="134">
        <v>4.6</v>
      </c>
      <c r="G13" s="133"/>
      <c r="H13" s="10" t="s">
        <v>224</v>
      </c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>
      <c r="A14" s="133"/>
      <c r="B14" s="133"/>
      <c r="C14" s="133"/>
      <c r="D14" s="133"/>
      <c r="E14" s="133"/>
      <c r="F14" s="133"/>
      <c r="G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>
      <c r="A15" s="133"/>
      <c r="B15" s="133"/>
      <c r="C15" s="133"/>
      <c r="D15" s="133"/>
      <c r="E15" s="133"/>
      <c r="F15" s="133"/>
      <c r="G15" s="133"/>
      <c r="H15" s="10" t="s">
        <v>227</v>
      </c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>
      <c r="A16" s="133"/>
      <c r="B16" s="133"/>
      <c r="C16" s="133"/>
      <c r="D16" s="133"/>
      <c r="E16" s="133"/>
      <c r="F16" s="133"/>
      <c r="G16" s="133"/>
      <c r="H16" s="10" t="s">
        <v>228</v>
      </c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>
      <c r="A17" s="133"/>
      <c r="B17" s="133"/>
      <c r="C17" s="133"/>
      <c r="D17" s="133"/>
      <c r="E17" s="133"/>
      <c r="F17" s="133"/>
      <c r="G17" s="133"/>
      <c r="H17" s="10" t="s">
        <v>224</v>
      </c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>
      <c r="A18" s="133"/>
      <c r="B18" s="133"/>
      <c r="C18" s="133"/>
      <c r="D18" s="133"/>
      <c r="E18" s="133"/>
      <c r="F18" s="133"/>
      <c r="G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>
      <c r="A19" s="133"/>
      <c r="B19" s="133"/>
      <c r="C19" s="134"/>
      <c r="D19" s="133"/>
      <c r="E19" s="133"/>
      <c r="F19" s="133"/>
      <c r="G19" s="133"/>
      <c r="H19" s="10" t="s">
        <v>229</v>
      </c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133"/>
      <c r="G20" s="133"/>
      <c r="H20" s="10" t="s">
        <v>230</v>
      </c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>
      <c r="A21" s="133"/>
      <c r="B21" s="133"/>
      <c r="C21" s="133"/>
      <c r="D21" s="133"/>
      <c r="E21" s="133"/>
      <c r="F21" s="133"/>
      <c r="G21" s="133"/>
      <c r="H21" s="10" t="s">
        <v>224</v>
      </c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>
      <c r="A22" s="133"/>
      <c r="B22" s="133"/>
      <c r="C22" s="133"/>
      <c r="D22" s="133"/>
      <c r="E22" s="133"/>
      <c r="F22" s="133"/>
      <c r="G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>
      <c r="A23" s="133"/>
      <c r="B23" s="133"/>
      <c r="C23" s="133"/>
      <c r="D23" s="133"/>
      <c r="E23" s="133"/>
      <c r="F23" s="133"/>
      <c r="G23" s="133"/>
      <c r="H23" s="10" t="s">
        <v>231</v>
      </c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>
      <c r="A24" s="133"/>
      <c r="B24" s="133"/>
      <c r="C24" s="133"/>
      <c r="D24" s="133"/>
      <c r="E24" s="133"/>
      <c r="F24" s="133"/>
      <c r="G24" s="133"/>
      <c r="H24" s="10" t="s">
        <v>232</v>
      </c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>
      <c r="A25" s="133"/>
      <c r="B25" s="133"/>
      <c r="C25" s="133"/>
      <c r="D25" s="133"/>
      <c r="E25" s="133"/>
      <c r="F25" s="133"/>
      <c r="G25" s="133"/>
      <c r="H25" s="10" t="s">
        <v>224</v>
      </c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>
        <v>1.0</v>
      </c>
      <c r="B1" s="10">
        <v>2.0</v>
      </c>
      <c r="C1" s="10">
        <v>3.0</v>
      </c>
      <c r="D1" s="10">
        <v>4.0</v>
      </c>
      <c r="E1" s="10">
        <v>5.0</v>
      </c>
      <c r="F1" s="10">
        <v>6.0</v>
      </c>
    </row>
    <row r="2">
      <c r="B2" s="10" t="s">
        <v>144</v>
      </c>
      <c r="C2" s="10" t="s">
        <v>233</v>
      </c>
      <c r="D2" s="10" t="s">
        <v>234</v>
      </c>
      <c r="E2" s="10" t="s">
        <v>235</v>
      </c>
      <c r="F2" s="10" t="s">
        <v>236</v>
      </c>
    </row>
    <row r="3">
      <c r="A3" s="10">
        <v>2.0</v>
      </c>
      <c r="B3" s="10">
        <v>0.6</v>
      </c>
      <c r="C3" s="10">
        <v>0.6</v>
      </c>
      <c r="D3" s="10">
        <v>0.81</v>
      </c>
      <c r="E3" s="10">
        <v>0.63</v>
      </c>
      <c r="F3" s="10">
        <v>0.63</v>
      </c>
    </row>
    <row r="4">
      <c r="A4" s="10">
        <v>3.0</v>
      </c>
      <c r="B4" s="10">
        <v>0.63</v>
      </c>
      <c r="C4" s="10">
        <v>0.69</v>
      </c>
      <c r="D4" s="10">
        <v>0.87</v>
      </c>
      <c r="E4" s="10">
        <v>0.69</v>
      </c>
      <c r="F4" s="10">
        <v>0.69</v>
      </c>
    </row>
    <row r="5">
      <c r="A5" s="10">
        <v>4.0</v>
      </c>
      <c r="B5" s="10">
        <v>0.69</v>
      </c>
      <c r="C5" s="10">
        <v>0.72</v>
      </c>
      <c r="D5" s="10">
        <v>0.93</v>
      </c>
      <c r="E5" s="10">
        <v>0.75</v>
      </c>
      <c r="F5" s="10">
        <v>0.75</v>
      </c>
    </row>
    <row r="6">
      <c r="A6" s="10">
        <v>5.0</v>
      </c>
      <c r="B6" s="10">
        <v>0.75</v>
      </c>
      <c r="C6" s="10">
        <v>0.78</v>
      </c>
      <c r="D6" s="10">
        <v>0.99</v>
      </c>
      <c r="E6" s="10">
        <v>0.81</v>
      </c>
      <c r="F6" s="10">
        <v>0.81</v>
      </c>
    </row>
    <row r="7">
      <c r="A7" s="10">
        <v>6.0</v>
      </c>
      <c r="B7" s="10">
        <v>0.78</v>
      </c>
      <c r="C7" s="10">
        <v>0.87</v>
      </c>
      <c r="D7" s="10">
        <v>1.05</v>
      </c>
      <c r="E7" s="10">
        <v>0.84</v>
      </c>
      <c r="F7" s="10">
        <v>0.84</v>
      </c>
    </row>
    <row r="8">
      <c r="B8" s="137">
        <f>VLOOKUP(3,'Attack Speed'!A2:F7,2,true)</f>
        <v>0.63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0"/>
      <c r="B1" s="120" t="s">
        <v>237</v>
      </c>
      <c r="C1" s="138"/>
      <c r="D1" s="138"/>
      <c r="E1" s="138"/>
      <c r="F1" s="138"/>
      <c r="G1" s="120"/>
      <c r="H1" s="120" t="s">
        <v>238</v>
      </c>
      <c r="I1" s="138"/>
      <c r="J1" s="138"/>
      <c r="K1" s="138"/>
      <c r="L1" s="138"/>
      <c r="M1" s="120"/>
      <c r="N1" s="120" t="s">
        <v>239</v>
      </c>
      <c r="O1" s="138"/>
      <c r="P1" s="138"/>
      <c r="Q1" s="138"/>
      <c r="R1" s="138"/>
      <c r="S1" s="120"/>
      <c r="T1" s="120"/>
      <c r="U1" s="120"/>
      <c r="V1" s="120"/>
      <c r="W1" s="120"/>
      <c r="X1" s="120"/>
      <c r="Y1" s="120"/>
      <c r="Z1" s="120"/>
    </row>
    <row r="2">
      <c r="A2" s="139" t="s">
        <v>148</v>
      </c>
      <c r="B2" s="33"/>
      <c r="C2" s="33"/>
      <c r="D2" s="33"/>
      <c r="E2" s="140">
        <v>16.0</v>
      </c>
      <c r="F2" s="141">
        <v>75.0</v>
      </c>
      <c r="G2" s="139"/>
      <c r="H2" s="33"/>
      <c r="I2" s="33"/>
      <c r="J2" s="33"/>
      <c r="K2" s="140">
        <v>18.0</v>
      </c>
      <c r="L2" s="141">
        <v>85.0</v>
      </c>
      <c r="M2" s="139"/>
      <c r="N2" s="33"/>
      <c r="O2" s="33"/>
      <c r="P2" s="33"/>
      <c r="Q2" s="140">
        <v>20.0</v>
      </c>
      <c r="R2" s="141">
        <v>95.0</v>
      </c>
      <c r="S2" s="120"/>
      <c r="T2" s="120"/>
      <c r="U2" s="120"/>
      <c r="V2" s="120"/>
      <c r="W2" s="120"/>
      <c r="X2" s="120"/>
      <c r="Y2" s="120"/>
      <c r="Z2" s="120"/>
    </row>
    <row r="3">
      <c r="A3" s="139"/>
      <c r="B3" s="28"/>
      <c r="C3" s="28"/>
      <c r="D3" s="28"/>
      <c r="E3" s="28"/>
      <c r="F3" s="44"/>
      <c r="G3" s="139"/>
      <c r="H3" s="28"/>
      <c r="I3" s="28"/>
      <c r="J3" s="28"/>
      <c r="K3" s="28"/>
      <c r="L3" s="44"/>
      <c r="M3" s="139"/>
      <c r="N3" s="28"/>
      <c r="O3" s="28"/>
      <c r="P3" s="28"/>
      <c r="Q3" s="28"/>
      <c r="R3" s="44"/>
      <c r="S3" s="120"/>
      <c r="T3" s="120"/>
      <c r="U3" s="120"/>
      <c r="V3" s="120"/>
      <c r="W3" s="120"/>
      <c r="X3" s="120"/>
      <c r="Y3" s="120"/>
      <c r="Z3" s="120"/>
    </row>
    <row r="4">
      <c r="A4" s="139"/>
      <c r="B4" s="33"/>
      <c r="C4" s="33"/>
      <c r="D4" s="33"/>
      <c r="E4" s="33"/>
      <c r="F4" s="34"/>
      <c r="G4" s="139"/>
      <c r="H4" s="33"/>
      <c r="I4" s="33"/>
      <c r="J4" s="33"/>
      <c r="K4" s="33"/>
      <c r="L4" s="34"/>
      <c r="M4" s="139"/>
      <c r="N4" s="33"/>
      <c r="O4" s="33"/>
      <c r="P4" s="33"/>
      <c r="Q4" s="33"/>
      <c r="R4" s="34"/>
      <c r="S4" s="120"/>
      <c r="T4" s="120"/>
      <c r="U4" s="120"/>
      <c r="V4" s="120"/>
      <c r="W4" s="120"/>
      <c r="X4" s="120"/>
      <c r="Y4" s="120"/>
      <c r="Z4" s="120"/>
    </row>
    <row r="5">
      <c r="A5" s="139"/>
      <c r="B5" s="142">
        <v>15.0</v>
      </c>
      <c r="C5" s="142">
        <v>29.0</v>
      </c>
      <c r="D5" s="142">
        <v>15.0</v>
      </c>
      <c r="E5" s="142">
        <v>17.0</v>
      </c>
      <c r="F5" s="44"/>
      <c r="G5" s="139"/>
      <c r="H5" s="142">
        <v>15.0</v>
      </c>
      <c r="I5" s="142">
        <v>38.0</v>
      </c>
      <c r="J5" s="142">
        <v>15.0</v>
      </c>
      <c r="K5" s="142">
        <v>17.0</v>
      </c>
      <c r="L5" s="44"/>
      <c r="M5" s="139"/>
      <c r="N5" s="142">
        <v>15.0</v>
      </c>
      <c r="O5" s="142">
        <v>47.0</v>
      </c>
      <c r="P5" s="142">
        <v>15.0</v>
      </c>
      <c r="Q5" s="142">
        <v>17.0</v>
      </c>
      <c r="R5" s="44"/>
      <c r="S5" s="120"/>
      <c r="T5" s="120"/>
      <c r="U5" s="120"/>
      <c r="V5" s="120"/>
      <c r="W5" s="120"/>
      <c r="X5" s="120"/>
      <c r="Y5" s="120"/>
      <c r="Z5" s="120"/>
    </row>
    <row r="6">
      <c r="A6" s="139"/>
      <c r="B6" s="47"/>
      <c r="C6" s="143">
        <v>7.0</v>
      </c>
      <c r="D6" s="47"/>
      <c r="E6" s="143">
        <v>20.0</v>
      </c>
      <c r="F6" s="41"/>
      <c r="G6" s="139"/>
      <c r="H6" s="47"/>
      <c r="I6" s="143">
        <v>7.0</v>
      </c>
      <c r="J6" s="47"/>
      <c r="K6" s="143">
        <v>26.0</v>
      </c>
      <c r="L6" s="41"/>
      <c r="M6" s="139"/>
      <c r="N6" s="47"/>
      <c r="O6" s="143">
        <v>7.0</v>
      </c>
      <c r="P6" s="47"/>
      <c r="Q6" s="143">
        <v>32.0</v>
      </c>
      <c r="R6" s="41"/>
      <c r="S6" s="120"/>
      <c r="T6" s="120"/>
      <c r="U6" s="120"/>
      <c r="V6" s="120"/>
      <c r="W6" s="120"/>
      <c r="X6" s="120"/>
      <c r="Y6" s="120"/>
      <c r="Z6" s="120"/>
    </row>
    <row r="7">
      <c r="A7" s="139"/>
      <c r="B7" s="142"/>
      <c r="C7" s="142">
        <v>16.0</v>
      </c>
      <c r="D7" s="28"/>
      <c r="E7" s="142">
        <v>9.0</v>
      </c>
      <c r="F7" s="44"/>
      <c r="G7" s="139"/>
      <c r="H7" s="142"/>
      <c r="I7" s="142">
        <v>22.0</v>
      </c>
      <c r="J7" s="28"/>
      <c r="K7" s="142">
        <v>9.0</v>
      </c>
      <c r="L7" s="44"/>
      <c r="M7" s="139"/>
      <c r="N7" s="142"/>
      <c r="O7" s="142">
        <v>28.0</v>
      </c>
      <c r="P7" s="28"/>
      <c r="Q7" s="142">
        <v>9.0</v>
      </c>
      <c r="R7" s="44"/>
      <c r="S7" s="120"/>
      <c r="T7" s="120"/>
      <c r="U7" s="120"/>
      <c r="V7" s="120"/>
      <c r="W7" s="120"/>
      <c r="X7" s="120"/>
      <c r="Y7" s="120"/>
      <c r="Z7" s="120"/>
    </row>
    <row r="8">
      <c r="A8" s="139"/>
      <c r="B8" s="47"/>
      <c r="C8" s="47"/>
      <c r="D8" s="47"/>
      <c r="E8" s="47"/>
      <c r="F8" s="144">
        <v>11.0</v>
      </c>
      <c r="G8" s="139"/>
      <c r="H8" s="47"/>
      <c r="I8" s="47"/>
      <c r="J8" s="47"/>
      <c r="K8" s="47"/>
      <c r="L8" s="144">
        <v>15.0</v>
      </c>
      <c r="M8" s="139"/>
      <c r="N8" s="47"/>
      <c r="O8" s="47"/>
      <c r="P8" s="47"/>
      <c r="Q8" s="47"/>
      <c r="R8" s="144">
        <v>19.0</v>
      </c>
      <c r="S8" s="120"/>
      <c r="T8" s="120"/>
      <c r="U8" s="120"/>
      <c r="V8" s="120"/>
      <c r="W8" s="120"/>
      <c r="X8" s="120"/>
      <c r="Y8" s="120"/>
      <c r="Z8" s="120"/>
    </row>
    <row r="9">
      <c r="A9" s="139"/>
      <c r="B9" s="28"/>
      <c r="C9" s="28"/>
      <c r="D9" s="28"/>
      <c r="E9" s="28"/>
      <c r="F9" s="63">
        <v>9.0</v>
      </c>
      <c r="G9" s="139"/>
      <c r="H9" s="28"/>
      <c r="I9" s="28"/>
      <c r="J9" s="28"/>
      <c r="K9" s="28"/>
      <c r="L9" s="63">
        <v>13.0</v>
      </c>
      <c r="M9" s="139"/>
      <c r="N9" s="28"/>
      <c r="O9" s="28"/>
      <c r="P9" s="28"/>
      <c r="Q9" s="28"/>
      <c r="R9" s="63">
        <v>17.0</v>
      </c>
      <c r="S9" s="120"/>
      <c r="T9" s="120"/>
      <c r="U9" s="120"/>
      <c r="V9" s="120"/>
      <c r="W9" s="120"/>
      <c r="X9" s="120"/>
      <c r="Y9" s="120"/>
      <c r="Z9" s="120"/>
    </row>
    <row r="10">
      <c r="A10" s="139"/>
      <c r="B10" s="47"/>
      <c r="C10" s="47"/>
      <c r="D10" s="47"/>
      <c r="E10" s="47"/>
      <c r="F10" s="144">
        <v>15.0</v>
      </c>
      <c r="G10" s="139"/>
      <c r="H10" s="47"/>
      <c r="I10" s="47"/>
      <c r="J10" s="47"/>
      <c r="K10" s="47"/>
      <c r="L10" s="144">
        <v>17.0</v>
      </c>
      <c r="M10" s="139"/>
      <c r="N10" s="47"/>
      <c r="O10" s="47"/>
      <c r="P10" s="47"/>
      <c r="Q10" s="47"/>
      <c r="R10" s="144">
        <v>22.0</v>
      </c>
      <c r="S10" s="120"/>
      <c r="T10" s="120"/>
      <c r="U10" s="120"/>
      <c r="V10" s="120"/>
      <c r="W10" s="120"/>
      <c r="X10" s="120"/>
      <c r="Y10" s="120"/>
      <c r="Z10" s="120"/>
    </row>
    <row r="11">
      <c r="A11" s="139"/>
      <c r="B11" s="142"/>
      <c r="C11" s="28"/>
      <c r="D11" s="28"/>
      <c r="E11" s="28"/>
      <c r="F11" s="44"/>
      <c r="G11" s="139"/>
      <c r="H11" s="142"/>
      <c r="I11" s="28"/>
      <c r="J11" s="28"/>
      <c r="K11" s="28"/>
      <c r="L11" s="44"/>
      <c r="M11" s="139"/>
      <c r="N11" s="142"/>
      <c r="O11" s="28"/>
      <c r="P11" s="28"/>
      <c r="Q11" s="28"/>
      <c r="R11" s="44"/>
      <c r="S11" s="120"/>
      <c r="T11" s="120"/>
      <c r="U11" s="120"/>
      <c r="V11" s="120"/>
      <c r="W11" s="120"/>
      <c r="X11" s="120"/>
      <c r="Y11" s="120"/>
      <c r="Z11" s="120"/>
    </row>
    <row r="12">
      <c r="A12" s="139"/>
      <c r="B12" s="33"/>
      <c r="C12" s="33"/>
      <c r="D12" s="33"/>
      <c r="E12" s="33"/>
      <c r="F12" s="34"/>
      <c r="G12" s="139"/>
      <c r="H12" s="33"/>
      <c r="I12" s="33"/>
      <c r="J12" s="33"/>
      <c r="K12" s="33"/>
      <c r="L12" s="34"/>
      <c r="M12" s="139"/>
      <c r="N12" s="33"/>
      <c r="O12" s="33"/>
      <c r="P12" s="33"/>
      <c r="Q12" s="33"/>
      <c r="R12" s="34"/>
      <c r="S12" s="120"/>
      <c r="T12" s="120"/>
      <c r="U12" s="120"/>
      <c r="V12" s="120"/>
      <c r="W12" s="120"/>
      <c r="X12" s="120"/>
      <c r="Y12" s="120"/>
      <c r="Z12" s="120"/>
    </row>
    <row r="13">
      <c r="A13" s="139"/>
      <c r="B13" s="142"/>
      <c r="C13" s="142">
        <v>10.0</v>
      </c>
      <c r="D13" s="28"/>
      <c r="E13" s="28"/>
      <c r="F13" s="44"/>
      <c r="G13" s="139"/>
      <c r="H13" s="142">
        <v>2.0</v>
      </c>
      <c r="I13" s="142">
        <v>12.0</v>
      </c>
      <c r="J13" s="142">
        <v>2.0</v>
      </c>
      <c r="K13" s="142">
        <v>2.0</v>
      </c>
      <c r="L13" s="44"/>
      <c r="M13" s="139"/>
      <c r="N13" s="142">
        <v>2.0</v>
      </c>
      <c r="O13" s="142">
        <v>15.0</v>
      </c>
      <c r="P13" s="142">
        <v>2.0</v>
      </c>
      <c r="Q13" s="142">
        <v>2.0</v>
      </c>
      <c r="R13" s="44"/>
      <c r="S13" s="120"/>
      <c r="T13" s="120"/>
      <c r="U13" s="120"/>
      <c r="V13" s="120"/>
      <c r="W13" s="120"/>
      <c r="X13" s="120"/>
      <c r="Y13" s="120"/>
      <c r="Z13" s="120"/>
    </row>
    <row r="14">
      <c r="A14" s="139"/>
      <c r="B14" s="47"/>
      <c r="C14" s="143">
        <v>1.0</v>
      </c>
      <c r="D14" s="47"/>
      <c r="E14" s="47"/>
      <c r="F14" s="41"/>
      <c r="G14" s="139"/>
      <c r="H14" s="47"/>
      <c r="I14" s="143">
        <v>11.0</v>
      </c>
      <c r="J14" s="47"/>
      <c r="K14" s="47"/>
      <c r="L14" s="41"/>
      <c r="M14" s="139"/>
      <c r="N14" s="47"/>
      <c r="O14" s="143">
        <v>13.0</v>
      </c>
      <c r="P14" s="47"/>
      <c r="Q14" s="47"/>
      <c r="R14" s="41"/>
      <c r="S14" s="120"/>
      <c r="T14" s="120"/>
      <c r="U14" s="120"/>
      <c r="V14" s="120"/>
      <c r="W14" s="120"/>
      <c r="X14" s="120"/>
      <c r="Y14" s="120"/>
      <c r="Z14" s="120"/>
    </row>
    <row r="15">
      <c r="A15" s="139"/>
      <c r="B15" s="142"/>
      <c r="C15" s="142">
        <v>9.0</v>
      </c>
      <c r="D15" s="28"/>
      <c r="E15" s="28"/>
      <c r="F15" s="44"/>
      <c r="G15" s="139"/>
      <c r="H15" s="142"/>
      <c r="I15" s="142">
        <v>3.0</v>
      </c>
      <c r="J15" s="28"/>
      <c r="K15" s="28"/>
      <c r="L15" s="44"/>
      <c r="M15" s="139"/>
      <c r="N15" s="142"/>
      <c r="O15" s="28"/>
      <c r="P15" s="28"/>
      <c r="Q15" s="142">
        <v>8.0</v>
      </c>
      <c r="R15" s="44"/>
      <c r="S15" s="120"/>
      <c r="T15" s="120"/>
      <c r="U15" s="120"/>
      <c r="V15" s="120"/>
      <c r="W15" s="120"/>
      <c r="X15" s="120"/>
      <c r="Y15" s="120"/>
      <c r="Z15" s="120"/>
    </row>
    <row r="16">
      <c r="A16" s="139"/>
      <c r="B16" s="143">
        <v>22.0</v>
      </c>
      <c r="C16" s="143">
        <v>22.0</v>
      </c>
      <c r="D16" s="143">
        <v>22.0</v>
      </c>
      <c r="E16" s="143">
        <v>22.0</v>
      </c>
      <c r="F16" s="41"/>
      <c r="G16" s="139"/>
      <c r="H16" s="143">
        <v>22.0</v>
      </c>
      <c r="I16" s="143">
        <v>22.0</v>
      </c>
      <c r="J16" s="143">
        <v>22.0</v>
      </c>
      <c r="K16" s="143">
        <v>22.0</v>
      </c>
      <c r="L16" s="41"/>
      <c r="M16" s="139"/>
      <c r="N16" s="143">
        <v>22.0</v>
      </c>
      <c r="O16" s="143">
        <v>28.0</v>
      </c>
      <c r="P16" s="143">
        <v>22.0</v>
      </c>
      <c r="Q16" s="143">
        <v>28.0</v>
      </c>
      <c r="R16" s="41"/>
      <c r="S16" s="120"/>
      <c r="T16" s="120"/>
      <c r="U16" s="120"/>
      <c r="V16" s="120"/>
      <c r="W16" s="120"/>
      <c r="X16" s="120"/>
      <c r="Y16" s="120"/>
      <c r="Z16" s="120"/>
    </row>
    <row r="17">
      <c r="A17" s="139"/>
      <c r="B17" s="142"/>
      <c r="C17" s="28"/>
      <c r="D17" s="28"/>
      <c r="E17" s="28"/>
      <c r="F17" s="44"/>
      <c r="G17" s="139"/>
      <c r="H17" s="142"/>
      <c r="I17" s="28"/>
      <c r="J17" s="28"/>
      <c r="K17" s="28"/>
      <c r="L17" s="44"/>
      <c r="M17" s="139"/>
      <c r="N17" s="142"/>
      <c r="O17" s="28"/>
      <c r="P17" s="28"/>
      <c r="Q17" s="28"/>
      <c r="R17" s="44"/>
      <c r="S17" s="120"/>
      <c r="T17" s="120"/>
      <c r="U17" s="120"/>
      <c r="V17" s="120"/>
      <c r="W17" s="120"/>
      <c r="X17" s="120"/>
      <c r="Y17" s="120"/>
      <c r="Z17" s="120"/>
    </row>
    <row r="18">
      <c r="A18" s="139"/>
      <c r="B18" s="143">
        <v>2.0</v>
      </c>
      <c r="C18" s="143">
        <v>2.0</v>
      </c>
      <c r="D18" s="143">
        <v>2.0</v>
      </c>
      <c r="E18" s="143">
        <v>2.0</v>
      </c>
      <c r="F18" s="41"/>
      <c r="G18" s="139"/>
      <c r="H18" s="143">
        <v>2.0</v>
      </c>
      <c r="I18" s="143">
        <v>2.0</v>
      </c>
      <c r="J18" s="143">
        <v>2.0</v>
      </c>
      <c r="K18" s="143">
        <v>2.0</v>
      </c>
      <c r="L18" s="41"/>
      <c r="M18" s="139"/>
      <c r="N18" s="143">
        <v>2.0</v>
      </c>
      <c r="O18" s="143">
        <v>2.0</v>
      </c>
      <c r="P18" s="143">
        <v>2.0</v>
      </c>
      <c r="Q18" s="143">
        <v>2.0</v>
      </c>
      <c r="R18" s="41"/>
      <c r="S18" s="120"/>
      <c r="T18" s="120"/>
      <c r="U18" s="120"/>
      <c r="V18" s="120"/>
      <c r="W18" s="120"/>
      <c r="X18" s="120"/>
      <c r="Y18" s="120"/>
      <c r="Z18" s="120"/>
    </row>
    <row r="19">
      <c r="A19" s="139"/>
      <c r="B19" s="142">
        <v>1.0</v>
      </c>
      <c r="C19" s="142">
        <v>1.0</v>
      </c>
      <c r="D19" s="142">
        <v>1.0</v>
      </c>
      <c r="E19" s="142">
        <v>1.0</v>
      </c>
      <c r="F19" s="44"/>
      <c r="G19" s="139"/>
      <c r="H19" s="142">
        <v>1.0</v>
      </c>
      <c r="I19" s="142">
        <v>1.0</v>
      </c>
      <c r="J19" s="142">
        <v>1.0</v>
      </c>
      <c r="K19" s="142">
        <v>1.0</v>
      </c>
      <c r="L19" s="44"/>
      <c r="M19" s="139"/>
      <c r="N19" s="142">
        <v>1.0</v>
      </c>
      <c r="O19" s="142">
        <v>1.0</v>
      </c>
      <c r="P19" s="142">
        <v>1.0</v>
      </c>
      <c r="Q19" s="142">
        <v>1.0</v>
      </c>
      <c r="R19" s="44"/>
      <c r="S19" s="120"/>
      <c r="T19" s="120"/>
      <c r="U19" s="120"/>
      <c r="V19" s="120"/>
      <c r="W19" s="120"/>
      <c r="X19" s="120"/>
      <c r="Y19" s="120"/>
      <c r="Z19" s="120"/>
    </row>
    <row r="20">
      <c r="A20" s="139"/>
      <c r="B20" s="143">
        <v>1.0</v>
      </c>
      <c r="C20" s="143">
        <v>1.0</v>
      </c>
      <c r="D20" s="143">
        <v>1.0</v>
      </c>
      <c r="E20" s="143">
        <v>1.0</v>
      </c>
      <c r="F20" s="41"/>
      <c r="G20" s="139"/>
      <c r="H20" s="143">
        <v>1.0</v>
      </c>
      <c r="I20" s="143">
        <v>1.0</v>
      </c>
      <c r="J20" s="143">
        <v>1.0</v>
      </c>
      <c r="K20" s="143">
        <v>1.0</v>
      </c>
      <c r="L20" s="41"/>
      <c r="M20" s="139"/>
      <c r="N20" s="143">
        <v>1.0</v>
      </c>
      <c r="O20" s="143">
        <v>1.0</v>
      </c>
      <c r="P20" s="143">
        <v>1.0</v>
      </c>
      <c r="Q20" s="143">
        <v>1.0</v>
      </c>
      <c r="R20" s="41"/>
      <c r="S20" s="120"/>
      <c r="T20" s="120"/>
      <c r="U20" s="120"/>
      <c r="V20" s="120"/>
      <c r="W20" s="120"/>
      <c r="X20" s="120"/>
      <c r="Y20" s="120"/>
      <c r="Z20" s="120"/>
    </row>
    <row r="21">
      <c r="A21" s="139"/>
      <c r="B21" s="142">
        <v>3.0</v>
      </c>
      <c r="C21" s="142">
        <v>3.0</v>
      </c>
      <c r="D21" s="142">
        <v>3.0</v>
      </c>
      <c r="E21" s="142">
        <v>3.0</v>
      </c>
      <c r="F21" s="63">
        <v>1.0</v>
      </c>
      <c r="G21" s="139"/>
      <c r="H21" s="142">
        <v>3.0</v>
      </c>
      <c r="I21" s="142">
        <v>3.0</v>
      </c>
      <c r="J21" s="142">
        <v>3.0</v>
      </c>
      <c r="K21" s="142">
        <v>3.0</v>
      </c>
      <c r="L21" s="63">
        <v>1.0</v>
      </c>
      <c r="M21" s="139"/>
      <c r="N21" s="142">
        <v>3.0</v>
      </c>
      <c r="O21" s="142">
        <v>3.0</v>
      </c>
      <c r="P21" s="142">
        <v>3.0</v>
      </c>
      <c r="Q21" s="142">
        <v>3.0</v>
      </c>
      <c r="R21" s="63">
        <v>1.0</v>
      </c>
      <c r="S21" s="120"/>
      <c r="T21" s="120"/>
      <c r="U21" s="120"/>
      <c r="V21" s="120"/>
      <c r="W21" s="120"/>
      <c r="X21" s="120"/>
      <c r="Y21" s="120"/>
      <c r="Z21" s="120"/>
    </row>
    <row r="22">
      <c r="A22" s="139"/>
      <c r="B22" s="143">
        <v>3.0</v>
      </c>
      <c r="C22" s="143">
        <v>3.0</v>
      </c>
      <c r="D22" s="143">
        <v>3.0</v>
      </c>
      <c r="E22" s="143">
        <v>3.0</v>
      </c>
      <c r="F22" s="41"/>
      <c r="G22" s="139"/>
      <c r="H22" s="143">
        <v>3.0</v>
      </c>
      <c r="I22" s="143">
        <v>3.0</v>
      </c>
      <c r="J22" s="143">
        <v>3.0</v>
      </c>
      <c r="K22" s="143">
        <v>3.0</v>
      </c>
      <c r="L22" s="41"/>
      <c r="M22" s="139"/>
      <c r="N22" s="143">
        <v>3.0</v>
      </c>
      <c r="O22" s="143">
        <v>3.0</v>
      </c>
      <c r="P22" s="143">
        <v>3.0</v>
      </c>
      <c r="Q22" s="143">
        <v>3.0</v>
      </c>
      <c r="R22" s="41"/>
      <c r="S22" s="120"/>
      <c r="T22" s="120"/>
      <c r="U22" s="120"/>
      <c r="V22" s="120"/>
      <c r="W22" s="120"/>
      <c r="X22" s="120"/>
      <c r="Y22" s="120"/>
      <c r="Z22" s="120"/>
    </row>
    <row r="23">
      <c r="A23" s="139"/>
      <c r="B23" s="142"/>
      <c r="C23" s="28"/>
      <c r="D23" s="28"/>
      <c r="E23" s="28"/>
      <c r="F23" s="44"/>
      <c r="G23" s="139"/>
      <c r="H23" s="142"/>
      <c r="I23" s="28"/>
      <c r="J23" s="28"/>
      <c r="K23" s="28"/>
      <c r="L23" s="44"/>
      <c r="M23" s="139"/>
      <c r="N23" s="142"/>
      <c r="O23" s="28"/>
      <c r="P23" s="28"/>
      <c r="Q23" s="28"/>
      <c r="R23" s="44"/>
      <c r="S23" s="120"/>
      <c r="T23" s="120"/>
      <c r="U23" s="120"/>
      <c r="V23" s="120"/>
      <c r="W23" s="120"/>
      <c r="X23" s="120"/>
      <c r="Y23" s="120"/>
      <c r="Z23" s="120"/>
    </row>
    <row r="24">
      <c r="A24" s="139"/>
      <c r="B24" s="33">
        <v>4.0</v>
      </c>
      <c r="C24" s="33">
        <v>42.0</v>
      </c>
      <c r="D24" s="33">
        <v>4.0</v>
      </c>
      <c r="E24" s="33">
        <v>780.0</v>
      </c>
      <c r="F24" s="34"/>
      <c r="G24" s="139"/>
      <c r="H24" s="33">
        <v>4.0</v>
      </c>
      <c r="I24" s="33">
        <v>23.0</v>
      </c>
      <c r="J24" s="33">
        <v>4.0</v>
      </c>
      <c r="K24" s="33">
        <v>869.0</v>
      </c>
      <c r="L24" s="34"/>
      <c r="M24" s="139"/>
      <c r="N24" s="33">
        <v>4.0</v>
      </c>
      <c r="O24" s="33">
        <v>4.0</v>
      </c>
      <c r="P24" s="33">
        <v>4.0</v>
      </c>
      <c r="Q24" s="33">
        <v>943.0</v>
      </c>
      <c r="R24" s="34"/>
      <c r="S24" s="120"/>
      <c r="T24" s="120"/>
      <c r="U24" s="120"/>
      <c r="V24" s="120"/>
      <c r="W24" s="120"/>
      <c r="X24" s="120"/>
      <c r="Y24" s="120"/>
      <c r="Z24" s="120"/>
    </row>
    <row r="25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>
      <c r="A26" s="120"/>
      <c r="B26" s="120"/>
      <c r="C26" s="138"/>
      <c r="D26" s="138"/>
      <c r="E26" s="138"/>
      <c r="F26" s="138"/>
      <c r="G26" s="120"/>
      <c r="H26" s="138"/>
      <c r="I26" s="138"/>
      <c r="J26" s="138"/>
      <c r="K26" s="138"/>
      <c r="L26" s="138"/>
      <c r="M26" s="120"/>
      <c r="N26" s="138"/>
      <c r="O26" s="138"/>
      <c r="P26" s="138"/>
      <c r="Q26" s="138"/>
      <c r="R26" s="138"/>
      <c r="S26" s="120"/>
      <c r="T26" s="120"/>
      <c r="U26" s="120"/>
      <c r="V26" s="120"/>
      <c r="W26" s="120"/>
      <c r="X26" s="120"/>
      <c r="Y26" s="120"/>
      <c r="Z26" s="120"/>
    </row>
    <row r="27">
      <c r="A27" s="139" t="s">
        <v>186</v>
      </c>
      <c r="B27" s="33"/>
      <c r="C27" s="33"/>
      <c r="D27" s="33"/>
      <c r="E27" s="140">
        <v>9.0</v>
      </c>
      <c r="F27" s="141">
        <v>125.0</v>
      </c>
      <c r="G27" s="139"/>
      <c r="H27" s="33"/>
      <c r="I27" s="33"/>
      <c r="J27" s="33"/>
      <c r="K27" s="140">
        <v>15.0</v>
      </c>
      <c r="L27" s="141">
        <v>135.0</v>
      </c>
      <c r="M27" s="139"/>
      <c r="N27" s="33"/>
      <c r="O27" s="33"/>
      <c r="P27" s="33"/>
      <c r="Q27" s="140">
        <v>21.0</v>
      </c>
      <c r="R27" s="141">
        <v>145.0</v>
      </c>
      <c r="S27" s="120"/>
      <c r="T27" s="120"/>
      <c r="U27" s="120"/>
      <c r="V27" s="120"/>
      <c r="W27" s="120"/>
      <c r="X27" s="120"/>
      <c r="Y27" s="120"/>
      <c r="Z27" s="120"/>
    </row>
    <row r="28">
      <c r="A28" s="139"/>
      <c r="B28" s="142">
        <v>6.0</v>
      </c>
      <c r="C28" s="28"/>
      <c r="D28" s="28"/>
      <c r="E28" s="28"/>
      <c r="F28" s="63">
        <v>31.0</v>
      </c>
      <c r="G28" s="139"/>
      <c r="H28" s="142">
        <v>15.0</v>
      </c>
      <c r="I28" s="28"/>
      <c r="J28" s="28"/>
      <c r="K28" s="28"/>
      <c r="L28" s="63">
        <v>37.0</v>
      </c>
      <c r="M28" s="139"/>
      <c r="N28" s="142">
        <v>21.0</v>
      </c>
      <c r="O28" s="28"/>
      <c r="P28" s="28"/>
      <c r="Q28" s="28"/>
      <c r="R28" s="63">
        <v>43.0</v>
      </c>
      <c r="S28" s="120"/>
      <c r="T28" s="120"/>
      <c r="U28" s="120"/>
      <c r="V28" s="120"/>
      <c r="W28" s="120"/>
      <c r="X28" s="120"/>
      <c r="Y28" s="120"/>
      <c r="Z28" s="120"/>
    </row>
    <row r="29">
      <c r="A29" s="139"/>
      <c r="B29" s="33"/>
      <c r="C29" s="33"/>
      <c r="D29" s="33"/>
      <c r="E29" s="33"/>
      <c r="F29" s="34"/>
      <c r="G29" s="139"/>
      <c r="H29" s="33"/>
      <c r="I29" s="33"/>
      <c r="J29" s="33"/>
      <c r="K29" s="33"/>
      <c r="L29" s="34"/>
      <c r="M29" s="139"/>
      <c r="N29" s="33"/>
      <c r="O29" s="33"/>
      <c r="P29" s="33"/>
      <c r="Q29" s="33"/>
      <c r="R29" s="34"/>
      <c r="S29" s="120"/>
      <c r="T29" s="120"/>
      <c r="U29" s="120"/>
      <c r="V29" s="120"/>
      <c r="W29" s="120"/>
      <c r="X29" s="120"/>
      <c r="Y29" s="120"/>
      <c r="Z29" s="120"/>
    </row>
    <row r="30">
      <c r="A30" s="139"/>
      <c r="B30" s="142">
        <v>17.0</v>
      </c>
      <c r="C30" s="142">
        <v>29.0</v>
      </c>
      <c r="D30" s="142">
        <v>15.0</v>
      </c>
      <c r="E30" s="142">
        <v>17.0</v>
      </c>
      <c r="F30" s="44"/>
      <c r="G30" s="139"/>
      <c r="H30" s="142">
        <v>17.0</v>
      </c>
      <c r="I30" s="142">
        <v>29.0</v>
      </c>
      <c r="J30" s="142">
        <v>15.0</v>
      </c>
      <c r="K30" s="142">
        <v>17.0</v>
      </c>
      <c r="L30" s="44"/>
      <c r="M30" s="139"/>
      <c r="N30" s="142">
        <v>17.0</v>
      </c>
      <c r="O30" s="142">
        <v>47.0</v>
      </c>
      <c r="P30" s="142">
        <v>15.0</v>
      </c>
      <c r="Q30" s="142">
        <v>17.0</v>
      </c>
      <c r="R30" s="44"/>
      <c r="S30" s="120"/>
      <c r="T30" s="120"/>
      <c r="U30" s="120"/>
      <c r="V30" s="120"/>
      <c r="W30" s="120"/>
      <c r="X30" s="120"/>
      <c r="Y30" s="120"/>
      <c r="Z30" s="120"/>
    </row>
    <row r="31">
      <c r="A31" s="139"/>
      <c r="B31" s="47"/>
      <c r="C31" s="143">
        <v>7.0</v>
      </c>
      <c r="D31" s="47"/>
      <c r="E31" s="143">
        <v>20.0</v>
      </c>
      <c r="F31" s="41"/>
      <c r="G31" s="139"/>
      <c r="H31" s="47"/>
      <c r="I31" s="143">
        <v>7.0</v>
      </c>
      <c r="J31" s="47"/>
      <c r="K31" s="143">
        <v>26.0</v>
      </c>
      <c r="L31" s="41"/>
      <c r="M31" s="139"/>
      <c r="N31" s="47"/>
      <c r="O31" s="143">
        <v>7.0</v>
      </c>
      <c r="P31" s="47"/>
      <c r="Q31" s="143">
        <v>32.0</v>
      </c>
      <c r="R31" s="41"/>
      <c r="S31" s="120"/>
      <c r="T31" s="120"/>
      <c r="U31" s="120"/>
      <c r="V31" s="120"/>
      <c r="W31" s="120"/>
      <c r="X31" s="120"/>
      <c r="Y31" s="120"/>
      <c r="Z31" s="120"/>
    </row>
    <row r="32">
      <c r="A32" s="139"/>
      <c r="B32" s="142"/>
      <c r="C32" s="142">
        <v>16.0</v>
      </c>
      <c r="D32" s="28"/>
      <c r="E32" s="142">
        <v>9.0</v>
      </c>
      <c r="F32" s="44"/>
      <c r="G32" s="139"/>
      <c r="H32" s="142"/>
      <c r="I32" s="142">
        <v>22.0</v>
      </c>
      <c r="J32" s="28"/>
      <c r="K32" s="142">
        <v>9.0</v>
      </c>
      <c r="L32" s="44"/>
      <c r="M32" s="139"/>
      <c r="N32" s="142"/>
      <c r="O32" s="142">
        <v>28.0</v>
      </c>
      <c r="P32" s="28"/>
      <c r="Q32" s="142">
        <v>9.0</v>
      </c>
      <c r="R32" s="44"/>
      <c r="S32" s="120"/>
      <c r="T32" s="120"/>
      <c r="U32" s="120"/>
      <c r="V32" s="120"/>
      <c r="W32" s="120"/>
      <c r="X32" s="120"/>
      <c r="Y32" s="120"/>
      <c r="Z32" s="120"/>
    </row>
    <row r="33">
      <c r="A33" s="139"/>
      <c r="B33" s="47"/>
      <c r="C33" s="47"/>
      <c r="D33" s="47"/>
      <c r="E33" s="47"/>
      <c r="F33" s="144">
        <v>11.0</v>
      </c>
      <c r="G33" s="139"/>
      <c r="H33" s="47"/>
      <c r="I33" s="47"/>
      <c r="J33" s="47"/>
      <c r="K33" s="47"/>
      <c r="L33" s="144">
        <v>11.0</v>
      </c>
      <c r="M33" s="139"/>
      <c r="N33" s="47"/>
      <c r="O33" s="47"/>
      <c r="P33" s="47"/>
      <c r="Q33" s="47"/>
      <c r="R33" s="144">
        <v>19.0</v>
      </c>
      <c r="S33" s="120"/>
      <c r="T33" s="120"/>
      <c r="U33" s="120"/>
      <c r="V33" s="120"/>
      <c r="W33" s="120"/>
      <c r="X33" s="120"/>
      <c r="Y33" s="120"/>
      <c r="Z33" s="120"/>
    </row>
    <row r="34">
      <c r="A34" s="139"/>
      <c r="B34" s="28"/>
      <c r="C34" s="28"/>
      <c r="D34" s="28"/>
      <c r="E34" s="28"/>
      <c r="F34" s="63">
        <v>9.0</v>
      </c>
      <c r="G34" s="139"/>
      <c r="H34" s="28"/>
      <c r="I34" s="28"/>
      <c r="J34" s="28"/>
      <c r="K34" s="28"/>
      <c r="L34" s="63">
        <v>9.0</v>
      </c>
      <c r="M34" s="139"/>
      <c r="N34" s="28"/>
      <c r="O34" s="28"/>
      <c r="P34" s="28"/>
      <c r="Q34" s="28"/>
      <c r="R34" s="63">
        <v>17.0</v>
      </c>
      <c r="S34" s="120"/>
      <c r="T34" s="120"/>
      <c r="U34" s="120"/>
      <c r="V34" s="120"/>
      <c r="W34" s="120"/>
      <c r="X34" s="120"/>
      <c r="Y34" s="120"/>
      <c r="Z34" s="120"/>
    </row>
    <row r="35">
      <c r="A35" s="139"/>
      <c r="B35" s="47"/>
      <c r="C35" s="47"/>
      <c r="D35" s="47"/>
      <c r="E35" s="47"/>
      <c r="F35" s="144">
        <v>15.0</v>
      </c>
      <c r="G35" s="139"/>
      <c r="H35" s="47"/>
      <c r="I35" s="47"/>
      <c r="J35" s="47"/>
      <c r="K35" s="47"/>
      <c r="L35" s="144">
        <v>15.0</v>
      </c>
      <c r="M35" s="139"/>
      <c r="N35" s="47"/>
      <c r="O35" s="47"/>
      <c r="P35" s="47"/>
      <c r="Q35" s="47"/>
      <c r="R35" s="144">
        <v>22.0</v>
      </c>
      <c r="S35" s="120"/>
      <c r="T35" s="120"/>
      <c r="U35" s="120"/>
      <c r="V35" s="120"/>
      <c r="W35" s="120"/>
      <c r="X35" s="120"/>
      <c r="Y35" s="120"/>
      <c r="Z35" s="120"/>
    </row>
    <row r="36">
      <c r="A36" s="139"/>
      <c r="B36" s="142"/>
      <c r="C36" s="28"/>
      <c r="D36" s="28"/>
      <c r="E36" s="28"/>
      <c r="F36" s="44"/>
      <c r="G36" s="139"/>
      <c r="H36" s="142"/>
      <c r="I36" s="28"/>
      <c r="J36" s="28"/>
      <c r="K36" s="28"/>
      <c r="L36" s="44"/>
      <c r="M36" s="139"/>
      <c r="N36" s="142"/>
      <c r="O36" s="28"/>
      <c r="P36" s="28"/>
      <c r="Q36" s="28"/>
      <c r="R36" s="44"/>
      <c r="S36" s="120"/>
      <c r="T36" s="120"/>
      <c r="U36" s="120"/>
      <c r="V36" s="120"/>
      <c r="W36" s="120"/>
      <c r="X36" s="120"/>
      <c r="Y36" s="120"/>
      <c r="Z36" s="120"/>
    </row>
    <row r="37">
      <c r="A37" s="139"/>
      <c r="B37" s="33"/>
      <c r="C37" s="33"/>
      <c r="D37" s="33"/>
      <c r="E37" s="33"/>
      <c r="F37" s="34"/>
      <c r="G37" s="139"/>
      <c r="H37" s="33"/>
      <c r="I37" s="33"/>
      <c r="J37" s="33"/>
      <c r="K37" s="33"/>
      <c r="L37" s="34"/>
      <c r="M37" s="139"/>
      <c r="N37" s="33"/>
      <c r="O37" s="33"/>
      <c r="P37" s="33"/>
      <c r="Q37" s="33"/>
      <c r="R37" s="34"/>
      <c r="S37" s="120"/>
      <c r="T37" s="120"/>
      <c r="U37" s="120"/>
      <c r="V37" s="120"/>
      <c r="W37" s="120"/>
      <c r="X37" s="120"/>
      <c r="Y37" s="120"/>
      <c r="Z37" s="120"/>
    </row>
    <row r="38">
      <c r="A38" s="139"/>
      <c r="B38" s="142"/>
      <c r="C38" s="142">
        <v>10.0</v>
      </c>
      <c r="D38" s="28"/>
      <c r="E38" s="28"/>
      <c r="F38" s="44"/>
      <c r="G38" s="139"/>
      <c r="H38" s="142"/>
      <c r="I38" s="142">
        <v>14.0</v>
      </c>
      <c r="J38" s="28"/>
      <c r="K38" s="28"/>
      <c r="L38" s="44"/>
      <c r="M38" s="139"/>
      <c r="N38" s="142">
        <v>2.0</v>
      </c>
      <c r="O38" s="142">
        <v>15.0</v>
      </c>
      <c r="P38" s="142">
        <v>2.0</v>
      </c>
      <c r="Q38" s="142">
        <v>2.0</v>
      </c>
      <c r="R38" s="44"/>
      <c r="S38" s="120"/>
      <c r="T38" s="120"/>
      <c r="U38" s="120"/>
      <c r="V38" s="120"/>
      <c r="W38" s="120"/>
      <c r="X38" s="120"/>
      <c r="Y38" s="120"/>
      <c r="Z38" s="120"/>
    </row>
    <row r="39">
      <c r="A39" s="139"/>
      <c r="B39" s="47"/>
      <c r="C39" s="143">
        <v>1.0</v>
      </c>
      <c r="D39" s="47"/>
      <c r="E39" s="47"/>
      <c r="F39" s="41"/>
      <c r="G39" s="139"/>
      <c r="H39" s="47"/>
      <c r="I39" s="143">
        <v>3.0</v>
      </c>
      <c r="J39" s="47"/>
      <c r="K39" s="47"/>
      <c r="L39" s="41"/>
      <c r="M39" s="139"/>
      <c r="N39" s="47"/>
      <c r="O39" s="143"/>
      <c r="P39" s="47"/>
      <c r="Q39" s="143">
        <v>8.0</v>
      </c>
      <c r="R39" s="41"/>
      <c r="S39" s="120"/>
      <c r="T39" s="120"/>
      <c r="U39" s="120"/>
      <c r="V39" s="120"/>
      <c r="W39" s="120"/>
      <c r="X39" s="120"/>
      <c r="Y39" s="120"/>
      <c r="Z39" s="120"/>
    </row>
    <row r="40">
      <c r="A40" s="139"/>
      <c r="B40" s="142"/>
      <c r="C40" s="142">
        <v>9.0</v>
      </c>
      <c r="D40" s="28"/>
      <c r="E40" s="28"/>
      <c r="F40" s="44"/>
      <c r="G40" s="139"/>
      <c r="H40" s="142"/>
      <c r="I40" s="142">
        <v>9.0</v>
      </c>
      <c r="J40" s="28"/>
      <c r="K40" s="28"/>
      <c r="L40" s="44"/>
      <c r="M40" s="139"/>
      <c r="N40" s="142"/>
      <c r="O40" s="28"/>
      <c r="P40" s="28"/>
      <c r="Q40" s="142">
        <v>8.0</v>
      </c>
      <c r="R40" s="44"/>
      <c r="S40" s="120"/>
      <c r="T40" s="120"/>
      <c r="U40" s="120"/>
      <c r="V40" s="120"/>
      <c r="W40" s="120"/>
      <c r="X40" s="120"/>
      <c r="Y40" s="120"/>
      <c r="Z40" s="120"/>
    </row>
    <row r="41">
      <c r="A41" s="139"/>
      <c r="B41" s="143">
        <v>22.0</v>
      </c>
      <c r="C41" s="143">
        <v>22.0</v>
      </c>
      <c r="D41" s="143">
        <v>22.0</v>
      </c>
      <c r="E41" s="143">
        <v>22.0</v>
      </c>
      <c r="F41" s="41"/>
      <c r="G41" s="139"/>
      <c r="H41" s="143">
        <v>22.0</v>
      </c>
      <c r="I41" s="143">
        <v>22.0</v>
      </c>
      <c r="J41" s="143">
        <v>22.0</v>
      </c>
      <c r="K41" s="143">
        <v>22.0</v>
      </c>
      <c r="L41" s="41"/>
      <c r="M41" s="139"/>
      <c r="N41" s="143">
        <v>28.0</v>
      </c>
      <c r="O41" s="143">
        <v>28.0</v>
      </c>
      <c r="P41" s="143">
        <v>23.0</v>
      </c>
      <c r="Q41" s="143">
        <v>28.0</v>
      </c>
      <c r="R41" s="41"/>
      <c r="S41" s="120"/>
      <c r="T41" s="120"/>
      <c r="U41" s="120"/>
      <c r="V41" s="120"/>
      <c r="W41" s="120"/>
      <c r="X41" s="120"/>
      <c r="Y41" s="120"/>
      <c r="Z41" s="120"/>
    </row>
    <row r="42">
      <c r="A42" s="139"/>
      <c r="B42" s="142"/>
      <c r="C42" s="28"/>
      <c r="D42" s="28"/>
      <c r="E42" s="28"/>
      <c r="F42" s="44"/>
      <c r="G42" s="139"/>
      <c r="H42" s="142"/>
      <c r="I42" s="28"/>
      <c r="J42" s="28"/>
      <c r="K42" s="28"/>
      <c r="L42" s="44"/>
      <c r="M42" s="139"/>
      <c r="N42" s="142"/>
      <c r="O42" s="28"/>
      <c r="P42" s="28"/>
      <c r="Q42" s="28"/>
      <c r="R42" s="44"/>
      <c r="S42" s="120"/>
      <c r="T42" s="120"/>
      <c r="U42" s="120"/>
      <c r="V42" s="120"/>
      <c r="W42" s="120"/>
      <c r="X42" s="120"/>
      <c r="Y42" s="120"/>
      <c r="Z42" s="120"/>
    </row>
    <row r="43">
      <c r="A43" s="139"/>
      <c r="B43" s="143">
        <v>2.0</v>
      </c>
      <c r="C43" s="143">
        <v>2.0</v>
      </c>
      <c r="D43" s="143">
        <v>2.0</v>
      </c>
      <c r="E43" s="143">
        <v>2.0</v>
      </c>
      <c r="F43" s="41"/>
      <c r="G43" s="139"/>
      <c r="H43" s="143">
        <v>2.0</v>
      </c>
      <c r="I43" s="143">
        <v>2.0</v>
      </c>
      <c r="J43" s="143">
        <v>2.0</v>
      </c>
      <c r="K43" s="143">
        <v>2.0</v>
      </c>
      <c r="L43" s="41"/>
      <c r="M43" s="139"/>
      <c r="N43" s="143">
        <v>2.0</v>
      </c>
      <c r="O43" s="143">
        <v>2.0</v>
      </c>
      <c r="P43" s="143">
        <v>2.0</v>
      </c>
      <c r="Q43" s="143">
        <v>2.0</v>
      </c>
      <c r="R43" s="41"/>
      <c r="S43" s="120"/>
      <c r="T43" s="120"/>
      <c r="U43" s="120"/>
      <c r="V43" s="120"/>
      <c r="W43" s="120"/>
      <c r="X43" s="120"/>
      <c r="Y43" s="120"/>
      <c r="Z43" s="120"/>
    </row>
    <row r="44">
      <c r="A44" s="139"/>
      <c r="B44" s="142">
        <v>1.0</v>
      </c>
      <c r="C44" s="142">
        <v>1.0</v>
      </c>
      <c r="D44" s="142">
        <v>1.0</v>
      </c>
      <c r="E44" s="142">
        <v>1.0</v>
      </c>
      <c r="F44" s="44"/>
      <c r="G44" s="139"/>
      <c r="H44" s="142">
        <v>1.0</v>
      </c>
      <c r="I44" s="142">
        <v>1.0</v>
      </c>
      <c r="J44" s="142">
        <v>1.0</v>
      </c>
      <c r="K44" s="142">
        <v>1.0</v>
      </c>
      <c r="L44" s="44"/>
      <c r="M44" s="139"/>
      <c r="N44" s="142">
        <v>1.0</v>
      </c>
      <c r="O44" s="142">
        <v>1.0</v>
      </c>
      <c r="P44" s="142">
        <v>1.0</v>
      </c>
      <c r="Q44" s="142">
        <v>1.0</v>
      </c>
      <c r="R44" s="44"/>
      <c r="S44" s="120"/>
      <c r="T44" s="120"/>
      <c r="U44" s="120"/>
      <c r="V44" s="120"/>
      <c r="W44" s="120"/>
      <c r="X44" s="120"/>
      <c r="Y44" s="120"/>
      <c r="Z44" s="120"/>
    </row>
    <row r="45">
      <c r="A45" s="139"/>
      <c r="B45" s="143">
        <v>1.0</v>
      </c>
      <c r="C45" s="143">
        <v>1.0</v>
      </c>
      <c r="D45" s="143">
        <v>1.0</v>
      </c>
      <c r="E45" s="143">
        <v>1.0</v>
      </c>
      <c r="F45" s="41"/>
      <c r="G45" s="139"/>
      <c r="H45" s="143">
        <v>1.0</v>
      </c>
      <c r="I45" s="143">
        <v>1.0</v>
      </c>
      <c r="J45" s="143">
        <v>1.0</v>
      </c>
      <c r="K45" s="143">
        <v>1.0</v>
      </c>
      <c r="L45" s="41"/>
      <c r="M45" s="139"/>
      <c r="N45" s="143">
        <v>1.0</v>
      </c>
      <c r="O45" s="143">
        <v>1.0</v>
      </c>
      <c r="P45" s="143">
        <v>1.0</v>
      </c>
      <c r="Q45" s="143">
        <v>1.0</v>
      </c>
      <c r="R45" s="41"/>
      <c r="S45" s="120"/>
      <c r="T45" s="120"/>
      <c r="U45" s="120"/>
      <c r="V45" s="120"/>
      <c r="W45" s="120"/>
      <c r="X45" s="120"/>
      <c r="Y45" s="120"/>
      <c r="Z45" s="120"/>
    </row>
    <row r="46">
      <c r="A46" s="139"/>
      <c r="B46" s="142">
        <v>3.0</v>
      </c>
      <c r="C46" s="142">
        <v>3.0</v>
      </c>
      <c r="D46" s="142">
        <v>3.0</v>
      </c>
      <c r="E46" s="142">
        <v>3.0</v>
      </c>
      <c r="F46" s="63">
        <v>1.0</v>
      </c>
      <c r="G46" s="139"/>
      <c r="H46" s="142">
        <v>3.0</v>
      </c>
      <c r="I46" s="142">
        <v>3.0</v>
      </c>
      <c r="J46" s="142">
        <v>3.0</v>
      </c>
      <c r="K46" s="142">
        <v>3.0</v>
      </c>
      <c r="L46" s="63">
        <v>1.0</v>
      </c>
      <c r="M46" s="139"/>
      <c r="N46" s="142">
        <v>3.0</v>
      </c>
      <c r="O46" s="142">
        <v>3.0</v>
      </c>
      <c r="P46" s="142">
        <v>3.0</v>
      </c>
      <c r="Q46" s="142">
        <v>3.0</v>
      </c>
      <c r="R46" s="63">
        <v>1.0</v>
      </c>
      <c r="S46" s="120"/>
      <c r="T46" s="120"/>
      <c r="U46" s="120"/>
      <c r="V46" s="120"/>
      <c r="W46" s="120"/>
      <c r="X46" s="120"/>
      <c r="Y46" s="120"/>
      <c r="Z46" s="120"/>
    </row>
    <row r="47">
      <c r="A47" s="139"/>
      <c r="B47" s="143">
        <v>3.0</v>
      </c>
      <c r="C47" s="143">
        <v>3.0</v>
      </c>
      <c r="D47" s="143">
        <v>3.0</v>
      </c>
      <c r="E47" s="143">
        <v>3.0</v>
      </c>
      <c r="F47" s="41"/>
      <c r="G47" s="139"/>
      <c r="H47" s="143">
        <v>3.0</v>
      </c>
      <c r="I47" s="143">
        <v>3.0</v>
      </c>
      <c r="J47" s="143">
        <v>3.0</v>
      </c>
      <c r="K47" s="143">
        <v>3.0</v>
      </c>
      <c r="L47" s="41"/>
      <c r="M47" s="139"/>
      <c r="N47" s="143">
        <v>3.0</v>
      </c>
      <c r="O47" s="143">
        <v>3.0</v>
      </c>
      <c r="P47" s="143">
        <v>3.0</v>
      </c>
      <c r="Q47" s="143">
        <v>3.0</v>
      </c>
      <c r="R47" s="41"/>
      <c r="S47" s="120"/>
      <c r="T47" s="120"/>
      <c r="U47" s="120"/>
      <c r="V47" s="120"/>
      <c r="W47" s="120"/>
      <c r="X47" s="120"/>
      <c r="Y47" s="120"/>
      <c r="Z47" s="120"/>
    </row>
    <row r="48">
      <c r="A48" s="139"/>
      <c r="B48" s="142"/>
      <c r="C48" s="28"/>
      <c r="D48" s="28"/>
      <c r="E48" s="28"/>
      <c r="F48" s="44"/>
      <c r="G48" s="139"/>
      <c r="H48" s="142"/>
      <c r="I48" s="28"/>
      <c r="J48" s="28"/>
      <c r="K48" s="28"/>
      <c r="L48" s="44"/>
      <c r="M48" s="139"/>
      <c r="N48" s="142"/>
      <c r="O48" s="28"/>
      <c r="P48" s="28"/>
      <c r="Q48" s="28"/>
      <c r="R48" s="44"/>
      <c r="S48" s="120"/>
      <c r="T48" s="120"/>
      <c r="U48" s="120"/>
      <c r="V48" s="120"/>
      <c r="W48" s="120"/>
      <c r="X48" s="120"/>
      <c r="Y48" s="120"/>
      <c r="Z48" s="120"/>
    </row>
    <row r="49">
      <c r="A49" s="139"/>
      <c r="B49" s="33">
        <v>26.0</v>
      </c>
      <c r="C49" s="33">
        <v>46.0</v>
      </c>
      <c r="D49" s="33">
        <v>4.0</v>
      </c>
      <c r="E49" s="33">
        <v>765.0</v>
      </c>
      <c r="F49" s="34"/>
      <c r="G49" s="139"/>
      <c r="H49" s="140">
        <v>10.0</v>
      </c>
      <c r="I49" s="140">
        <v>31.0</v>
      </c>
      <c r="J49" s="140">
        <v>4.0</v>
      </c>
      <c r="K49" s="140">
        <v>860.0</v>
      </c>
      <c r="L49" s="34"/>
      <c r="M49" s="139"/>
      <c r="N49" s="140">
        <v>4.0</v>
      </c>
      <c r="O49" s="140">
        <v>14.0</v>
      </c>
      <c r="P49" s="140">
        <v>4.0</v>
      </c>
      <c r="Q49" s="140">
        <v>933.0</v>
      </c>
      <c r="R49" s="34"/>
      <c r="S49" s="120"/>
      <c r="T49" s="120"/>
      <c r="U49" s="120"/>
      <c r="V49" s="120"/>
      <c r="W49" s="120"/>
      <c r="X49" s="120"/>
      <c r="Y49" s="120"/>
      <c r="Z49" s="120"/>
    </row>
    <row r="50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>
      <c r="A51" s="120"/>
      <c r="B51" s="120" t="s">
        <v>237</v>
      </c>
      <c r="C51" s="138"/>
      <c r="D51" s="138"/>
      <c r="E51" s="138"/>
      <c r="F51" s="138"/>
      <c r="G51" s="120"/>
      <c r="H51" s="120" t="s">
        <v>238</v>
      </c>
      <c r="I51" s="138"/>
      <c r="J51" s="138"/>
      <c r="K51" s="138"/>
      <c r="L51" s="138"/>
      <c r="M51" s="120"/>
      <c r="N51" s="120" t="s">
        <v>239</v>
      </c>
      <c r="O51" s="138"/>
      <c r="P51" s="138"/>
      <c r="Q51" s="138"/>
      <c r="R51" s="138"/>
      <c r="S51" s="120"/>
      <c r="T51" s="120"/>
      <c r="U51" s="120"/>
      <c r="V51" s="120"/>
      <c r="W51" s="120"/>
      <c r="X51" s="120"/>
      <c r="Y51" s="120"/>
      <c r="Z51" s="120"/>
    </row>
    <row r="52">
      <c r="A52" s="139" t="s">
        <v>240</v>
      </c>
      <c r="B52" s="33">
        <v>9.0</v>
      </c>
      <c r="C52" s="33"/>
      <c r="D52" s="33"/>
      <c r="E52" s="33"/>
      <c r="F52" s="141">
        <v>130.0</v>
      </c>
      <c r="G52" s="139"/>
      <c r="H52" s="33">
        <v>15.0</v>
      </c>
      <c r="I52" s="33"/>
      <c r="J52" s="33"/>
      <c r="K52" s="33"/>
      <c r="L52" s="141">
        <v>140.0</v>
      </c>
      <c r="M52" s="139"/>
      <c r="N52" s="33">
        <v>21.0</v>
      </c>
      <c r="O52" s="33"/>
      <c r="P52" s="33"/>
      <c r="Q52" s="33"/>
      <c r="R52" s="141">
        <v>150.0</v>
      </c>
      <c r="S52" s="120"/>
      <c r="T52" s="120"/>
      <c r="U52" s="120"/>
      <c r="V52" s="120"/>
      <c r="W52" s="120"/>
      <c r="X52" s="120"/>
      <c r="Y52" s="120"/>
      <c r="Z52" s="120"/>
    </row>
    <row r="53">
      <c r="A53" s="139"/>
      <c r="B53" s="28"/>
      <c r="C53" s="28"/>
      <c r="D53" s="28"/>
      <c r="E53" s="28"/>
      <c r="F53" s="44"/>
      <c r="G53" s="139"/>
      <c r="H53" s="28"/>
      <c r="I53" s="28"/>
      <c r="J53" s="28"/>
      <c r="K53" s="28"/>
      <c r="L53" s="44"/>
      <c r="M53" s="139"/>
      <c r="N53" s="28"/>
      <c r="O53" s="28"/>
      <c r="P53" s="28"/>
      <c r="Q53" s="28"/>
      <c r="R53" s="44"/>
      <c r="S53" s="120"/>
      <c r="T53" s="120"/>
      <c r="U53" s="120"/>
      <c r="V53" s="120"/>
      <c r="W53" s="120"/>
      <c r="X53" s="120"/>
      <c r="Y53" s="120"/>
      <c r="Z53" s="120"/>
    </row>
    <row r="54">
      <c r="A54" s="139"/>
      <c r="B54" s="33"/>
      <c r="C54" s="33"/>
      <c r="D54" s="33"/>
      <c r="E54" s="33"/>
      <c r="F54" s="34"/>
      <c r="G54" s="139"/>
      <c r="H54" s="33"/>
      <c r="I54" s="33"/>
      <c r="J54" s="33"/>
      <c r="K54" s="33"/>
      <c r="L54" s="34"/>
      <c r="M54" s="139"/>
      <c r="N54" s="33"/>
      <c r="O54" s="33"/>
      <c r="P54" s="33"/>
      <c r="Q54" s="33"/>
      <c r="R54" s="34"/>
      <c r="S54" s="120"/>
      <c r="T54" s="120"/>
      <c r="U54" s="120"/>
      <c r="V54" s="120"/>
      <c r="W54" s="120"/>
      <c r="X54" s="120"/>
      <c r="Y54" s="120"/>
      <c r="Z54" s="120"/>
    </row>
    <row r="55">
      <c r="A55" s="139"/>
      <c r="B55" s="142">
        <v>17.0</v>
      </c>
      <c r="C55" s="142">
        <v>29.0</v>
      </c>
      <c r="D55" s="142">
        <v>15.0</v>
      </c>
      <c r="E55" s="142">
        <v>15.0</v>
      </c>
      <c r="F55" s="44"/>
      <c r="G55" s="139"/>
      <c r="H55" s="142">
        <v>3.0</v>
      </c>
      <c r="I55" s="142">
        <v>3.0</v>
      </c>
      <c r="J55" s="142">
        <v>3.0</v>
      </c>
      <c r="K55" s="142">
        <v>3.0</v>
      </c>
      <c r="L55" s="63">
        <v>4.0</v>
      </c>
      <c r="M55" s="139"/>
      <c r="N55" s="142">
        <v>6.0</v>
      </c>
      <c r="O55" s="142">
        <v>6.0</v>
      </c>
      <c r="P55" s="142">
        <v>6.0</v>
      </c>
      <c r="Q55" s="142">
        <v>6.0</v>
      </c>
      <c r="R55" s="63">
        <v>6.0</v>
      </c>
      <c r="S55" s="120"/>
      <c r="T55" s="120"/>
      <c r="U55" s="120"/>
      <c r="V55" s="120"/>
      <c r="W55" s="120"/>
      <c r="X55" s="120"/>
      <c r="Y55" s="120"/>
      <c r="Z55" s="120"/>
    </row>
    <row r="56">
      <c r="A56" s="139"/>
      <c r="B56" s="143">
        <v>31.0</v>
      </c>
      <c r="C56" s="143">
        <v>9.0</v>
      </c>
      <c r="D56" s="47"/>
      <c r="E56" s="47"/>
      <c r="F56" s="41"/>
      <c r="G56" s="139"/>
      <c r="H56" s="143">
        <v>46.0</v>
      </c>
      <c r="I56" s="143">
        <v>9.0</v>
      </c>
      <c r="J56" s="47"/>
      <c r="K56" s="47"/>
      <c r="L56" s="41"/>
      <c r="M56" s="139"/>
      <c r="N56" s="143">
        <v>61.0</v>
      </c>
      <c r="O56" s="143">
        <v>9.0</v>
      </c>
      <c r="P56" s="47"/>
      <c r="Q56" s="47"/>
      <c r="R56" s="41"/>
      <c r="S56" s="120"/>
      <c r="T56" s="120"/>
      <c r="U56" s="120"/>
      <c r="V56" s="120"/>
      <c r="W56" s="120"/>
      <c r="X56" s="120"/>
      <c r="Y56" s="120"/>
      <c r="Z56" s="120"/>
    </row>
    <row r="57">
      <c r="A57" s="139"/>
      <c r="B57" s="142"/>
      <c r="C57" s="28"/>
      <c r="D57" s="28"/>
      <c r="E57" s="28"/>
      <c r="F57" s="44"/>
      <c r="G57" s="139"/>
      <c r="H57" s="142"/>
      <c r="I57" s="28"/>
      <c r="J57" s="28"/>
      <c r="K57" s="28"/>
      <c r="L57" s="44"/>
      <c r="M57" s="139"/>
      <c r="N57" s="142"/>
      <c r="O57" s="28"/>
      <c r="P57" s="28"/>
      <c r="Q57" s="28"/>
      <c r="R57" s="44"/>
      <c r="S57" s="120"/>
      <c r="T57" s="120"/>
      <c r="U57" s="120"/>
      <c r="V57" s="120"/>
      <c r="W57" s="120"/>
      <c r="X57" s="120"/>
      <c r="Y57" s="120"/>
      <c r="Z57" s="120"/>
    </row>
    <row r="58">
      <c r="A58" s="139"/>
      <c r="B58" s="47"/>
      <c r="C58" s="47"/>
      <c r="D58" s="47"/>
      <c r="E58" s="47"/>
      <c r="F58" s="144">
        <v>11.0</v>
      </c>
      <c r="G58" s="139"/>
      <c r="H58" s="47"/>
      <c r="I58" s="47"/>
      <c r="J58" s="47"/>
      <c r="K58" s="47"/>
      <c r="L58" s="144">
        <v>15.0</v>
      </c>
      <c r="M58" s="139"/>
      <c r="N58" s="47"/>
      <c r="O58" s="47"/>
      <c r="P58" s="47"/>
      <c r="Q58" s="47"/>
      <c r="R58" s="144">
        <v>19.0</v>
      </c>
      <c r="S58" s="120"/>
      <c r="T58" s="120"/>
      <c r="U58" s="120"/>
      <c r="V58" s="120"/>
      <c r="W58" s="120"/>
      <c r="X58" s="120"/>
      <c r="Y58" s="120"/>
      <c r="Z58" s="120"/>
    </row>
    <row r="59">
      <c r="A59" s="139"/>
      <c r="B59" s="28"/>
      <c r="C59" s="28"/>
      <c r="D59" s="28"/>
      <c r="E59" s="28"/>
      <c r="F59" s="63">
        <v>9.0</v>
      </c>
      <c r="G59" s="139"/>
      <c r="H59" s="28"/>
      <c r="I59" s="28"/>
      <c r="J59" s="28"/>
      <c r="K59" s="28"/>
      <c r="L59" s="63">
        <v>13.0</v>
      </c>
      <c r="M59" s="139"/>
      <c r="N59" s="28"/>
      <c r="O59" s="28"/>
      <c r="P59" s="28"/>
      <c r="Q59" s="28"/>
      <c r="R59" s="63">
        <v>17.0</v>
      </c>
      <c r="S59" s="120"/>
      <c r="T59" s="120"/>
      <c r="U59" s="120"/>
      <c r="V59" s="120"/>
      <c r="W59" s="120"/>
      <c r="X59" s="120"/>
      <c r="Y59" s="120"/>
      <c r="Z59" s="120"/>
    </row>
    <row r="60">
      <c r="A60" s="139"/>
      <c r="B60" s="47"/>
      <c r="C60" s="47"/>
      <c r="D60" s="47"/>
      <c r="E60" s="47"/>
      <c r="F60" s="144">
        <v>15.0</v>
      </c>
      <c r="G60" s="139"/>
      <c r="H60" s="47"/>
      <c r="I60" s="47"/>
      <c r="J60" s="47"/>
      <c r="K60" s="47"/>
      <c r="L60" s="144">
        <v>17.0</v>
      </c>
      <c r="M60" s="139"/>
      <c r="N60" s="47"/>
      <c r="O60" s="47"/>
      <c r="P60" s="47"/>
      <c r="Q60" s="47"/>
      <c r="R60" s="144">
        <v>22.0</v>
      </c>
      <c r="S60" s="120"/>
      <c r="T60" s="120"/>
      <c r="U60" s="120"/>
      <c r="V60" s="120"/>
      <c r="W60" s="120"/>
      <c r="X60" s="120"/>
      <c r="Y60" s="120"/>
      <c r="Z60" s="120"/>
    </row>
    <row r="61">
      <c r="A61" s="139"/>
      <c r="B61" s="142"/>
      <c r="C61" s="28"/>
      <c r="D61" s="28"/>
      <c r="E61" s="28"/>
      <c r="F61" s="44"/>
      <c r="G61" s="139"/>
      <c r="H61" s="142"/>
      <c r="I61" s="28"/>
      <c r="J61" s="28"/>
      <c r="K61" s="28"/>
      <c r="L61" s="44"/>
      <c r="M61" s="139"/>
      <c r="N61" s="142"/>
      <c r="O61" s="28"/>
      <c r="P61" s="28"/>
      <c r="Q61" s="28"/>
      <c r="R61" s="44"/>
      <c r="S61" s="120"/>
      <c r="T61" s="120"/>
      <c r="U61" s="120"/>
      <c r="V61" s="120"/>
      <c r="W61" s="120"/>
      <c r="X61" s="120"/>
      <c r="Y61" s="120"/>
      <c r="Z61" s="120"/>
    </row>
    <row r="62">
      <c r="A62" s="139"/>
      <c r="B62" s="33"/>
      <c r="C62" s="33"/>
      <c r="D62" s="33"/>
      <c r="E62" s="33"/>
      <c r="F62" s="34"/>
      <c r="G62" s="139"/>
      <c r="H62" s="33"/>
      <c r="I62" s="33"/>
      <c r="J62" s="33"/>
      <c r="K62" s="33"/>
      <c r="L62" s="34"/>
      <c r="M62" s="139"/>
      <c r="N62" s="33"/>
      <c r="O62" s="33"/>
      <c r="P62" s="33"/>
      <c r="Q62" s="33"/>
      <c r="R62" s="34"/>
      <c r="S62" s="120"/>
      <c r="T62" s="120"/>
      <c r="U62" s="120"/>
      <c r="V62" s="120"/>
      <c r="W62" s="120"/>
      <c r="X62" s="120"/>
      <c r="Y62" s="120"/>
      <c r="Z62" s="120"/>
    </row>
    <row r="63">
      <c r="A63" s="139"/>
      <c r="B63" s="142"/>
      <c r="C63" s="142">
        <v>10.0</v>
      </c>
      <c r="D63" s="28"/>
      <c r="E63" s="28"/>
      <c r="F63" s="44"/>
      <c r="G63" s="139"/>
      <c r="H63" s="142">
        <v>2.0</v>
      </c>
      <c r="I63" s="142">
        <v>12.0</v>
      </c>
      <c r="J63" s="142">
        <v>2.0</v>
      </c>
      <c r="K63" s="142">
        <v>2.0</v>
      </c>
      <c r="L63" s="44"/>
      <c r="M63" s="139"/>
      <c r="N63" s="142">
        <v>2.0</v>
      </c>
      <c r="O63" s="142">
        <v>15.0</v>
      </c>
      <c r="P63" s="142">
        <v>2.0</v>
      </c>
      <c r="Q63" s="142">
        <v>2.0</v>
      </c>
      <c r="R63" s="44"/>
      <c r="S63" s="120"/>
      <c r="T63" s="120"/>
      <c r="U63" s="120"/>
      <c r="V63" s="120"/>
      <c r="W63" s="120"/>
      <c r="X63" s="120"/>
      <c r="Y63" s="120"/>
      <c r="Z63" s="120"/>
    </row>
    <row r="64">
      <c r="A64" s="139"/>
      <c r="B64" s="47"/>
      <c r="C64" s="143">
        <v>1.0</v>
      </c>
      <c r="D64" s="47"/>
      <c r="E64" s="47"/>
      <c r="F64" s="41"/>
      <c r="G64" s="139"/>
      <c r="H64" s="143">
        <v>2.0</v>
      </c>
      <c r="I64" s="47"/>
      <c r="J64" s="47"/>
      <c r="K64" s="47"/>
      <c r="L64" s="41"/>
      <c r="M64" s="139"/>
      <c r="N64" s="143">
        <v>8.0</v>
      </c>
      <c r="O64" s="47"/>
      <c r="P64" s="47"/>
      <c r="Q64" s="47"/>
      <c r="R64" s="41"/>
      <c r="S64" s="120"/>
      <c r="T64" s="120"/>
      <c r="U64" s="120"/>
      <c r="V64" s="120"/>
      <c r="W64" s="120"/>
      <c r="X64" s="120"/>
      <c r="Y64" s="120"/>
      <c r="Z64" s="120"/>
    </row>
    <row r="65">
      <c r="A65" s="139"/>
      <c r="B65" s="142">
        <v>6.0</v>
      </c>
      <c r="C65" s="142">
        <v>3.0</v>
      </c>
      <c r="D65" s="28"/>
      <c r="E65" s="28"/>
      <c r="F65" s="44"/>
      <c r="G65" s="139"/>
      <c r="H65" s="142">
        <v>6.0</v>
      </c>
      <c r="I65" s="142">
        <v>5.0</v>
      </c>
      <c r="J65" s="28"/>
      <c r="K65" s="28"/>
      <c r="L65" s="44"/>
      <c r="M65" s="139"/>
      <c r="N65" s="142">
        <v>11.0</v>
      </c>
      <c r="O65" s="28"/>
      <c r="P65" s="28"/>
      <c r="Q65" s="28"/>
      <c r="R65" s="44"/>
      <c r="S65" s="120"/>
      <c r="T65" s="120"/>
      <c r="U65" s="120"/>
      <c r="V65" s="120"/>
      <c r="W65" s="120"/>
      <c r="X65" s="120"/>
      <c r="Y65" s="120"/>
      <c r="Z65" s="120"/>
    </row>
    <row r="66">
      <c r="A66" s="139"/>
      <c r="B66" s="143">
        <v>22.0</v>
      </c>
      <c r="C66" s="143">
        <v>22.0</v>
      </c>
      <c r="D66" s="143">
        <v>22.0</v>
      </c>
      <c r="E66" s="143">
        <v>22.0</v>
      </c>
      <c r="F66" s="41"/>
      <c r="G66" s="139"/>
      <c r="H66" s="143">
        <v>7.0</v>
      </c>
      <c r="I66" s="143">
        <v>7.0</v>
      </c>
      <c r="J66" s="143">
        <v>7.0</v>
      </c>
      <c r="K66" s="143">
        <v>7.0</v>
      </c>
      <c r="L66" s="144">
        <v>4.0</v>
      </c>
      <c r="M66" s="139"/>
      <c r="N66" s="143">
        <v>10.0</v>
      </c>
      <c r="O66" s="143">
        <v>10.0</v>
      </c>
      <c r="P66" s="143">
        <v>9.0</v>
      </c>
      <c r="Q66" s="143">
        <v>9.0</v>
      </c>
      <c r="R66" s="144">
        <v>8.0</v>
      </c>
      <c r="S66" s="120"/>
      <c r="T66" s="120"/>
      <c r="U66" s="120"/>
      <c r="V66" s="120"/>
      <c r="W66" s="120"/>
      <c r="X66" s="120"/>
      <c r="Y66" s="120"/>
      <c r="Z66" s="120"/>
    </row>
    <row r="67">
      <c r="A67" s="139"/>
      <c r="B67" s="142"/>
      <c r="C67" s="28"/>
      <c r="D67" s="28"/>
      <c r="E67" s="28"/>
      <c r="F67" s="44"/>
      <c r="G67" s="139"/>
      <c r="H67" s="142"/>
      <c r="I67" s="28"/>
      <c r="J67" s="28"/>
      <c r="K67" s="28"/>
      <c r="L67" s="44"/>
      <c r="M67" s="139"/>
      <c r="N67" s="142"/>
      <c r="O67" s="28"/>
      <c r="P67" s="28"/>
      <c r="Q67" s="28"/>
      <c r="R67" s="44"/>
      <c r="S67" s="120"/>
      <c r="T67" s="120"/>
      <c r="U67" s="120"/>
      <c r="V67" s="120"/>
      <c r="W67" s="120"/>
      <c r="X67" s="120"/>
      <c r="Y67" s="120"/>
      <c r="Z67" s="120"/>
    </row>
    <row r="68">
      <c r="A68" s="139"/>
      <c r="B68" s="143">
        <v>2.0</v>
      </c>
      <c r="C68" s="143">
        <v>2.0</v>
      </c>
      <c r="D68" s="143">
        <v>2.0</v>
      </c>
      <c r="E68" s="143">
        <v>2.0</v>
      </c>
      <c r="F68" s="41"/>
      <c r="G68" s="139"/>
      <c r="H68" s="143">
        <v>2.0</v>
      </c>
      <c r="I68" s="143">
        <v>2.0</v>
      </c>
      <c r="J68" s="143">
        <v>2.0</v>
      </c>
      <c r="K68" s="143">
        <v>2.0</v>
      </c>
      <c r="L68" s="41"/>
      <c r="M68" s="139"/>
      <c r="N68" s="143">
        <v>2.0</v>
      </c>
      <c r="O68" s="143">
        <v>2.0</v>
      </c>
      <c r="P68" s="143">
        <v>2.0</v>
      </c>
      <c r="Q68" s="143">
        <v>2.0</v>
      </c>
      <c r="R68" s="41"/>
      <c r="S68" s="120"/>
      <c r="T68" s="120"/>
      <c r="U68" s="120"/>
      <c r="V68" s="120"/>
      <c r="W68" s="120"/>
      <c r="X68" s="120"/>
      <c r="Y68" s="120"/>
      <c r="Z68" s="120"/>
    </row>
    <row r="69">
      <c r="A69" s="139"/>
      <c r="B69" s="142">
        <v>1.0</v>
      </c>
      <c r="C69" s="142">
        <v>1.0</v>
      </c>
      <c r="D69" s="142">
        <v>1.0</v>
      </c>
      <c r="E69" s="142">
        <v>1.0</v>
      </c>
      <c r="F69" s="44"/>
      <c r="G69" s="139"/>
      <c r="H69" s="142">
        <v>1.0</v>
      </c>
      <c r="I69" s="142">
        <v>1.0</v>
      </c>
      <c r="J69" s="142">
        <v>1.0</v>
      </c>
      <c r="K69" s="142">
        <v>1.0</v>
      </c>
      <c r="L69" s="44"/>
      <c r="M69" s="139"/>
      <c r="N69" s="142">
        <v>1.0</v>
      </c>
      <c r="O69" s="142">
        <v>1.0</v>
      </c>
      <c r="P69" s="142">
        <v>1.0</v>
      </c>
      <c r="Q69" s="142">
        <v>1.0</v>
      </c>
      <c r="R69" s="44"/>
      <c r="S69" s="120"/>
      <c r="T69" s="120"/>
      <c r="U69" s="120"/>
      <c r="V69" s="120"/>
      <c r="W69" s="120"/>
      <c r="X69" s="120"/>
      <c r="Y69" s="120"/>
      <c r="Z69" s="120"/>
    </row>
    <row r="70">
      <c r="A70" s="139"/>
      <c r="B70" s="143">
        <v>1.0</v>
      </c>
      <c r="C70" s="143">
        <v>1.0</v>
      </c>
      <c r="D70" s="143">
        <v>1.0</v>
      </c>
      <c r="E70" s="143">
        <v>1.0</v>
      </c>
      <c r="F70" s="41"/>
      <c r="G70" s="139"/>
      <c r="H70" s="143">
        <v>1.0</v>
      </c>
      <c r="I70" s="143">
        <v>1.0</v>
      </c>
      <c r="J70" s="143">
        <v>1.0</v>
      </c>
      <c r="K70" s="143">
        <v>1.0</v>
      </c>
      <c r="L70" s="41"/>
      <c r="M70" s="139"/>
      <c r="N70" s="143">
        <v>1.0</v>
      </c>
      <c r="O70" s="143">
        <v>1.0</v>
      </c>
      <c r="P70" s="143">
        <v>1.0</v>
      </c>
      <c r="Q70" s="143">
        <v>1.0</v>
      </c>
      <c r="R70" s="41"/>
      <c r="S70" s="120"/>
      <c r="T70" s="120"/>
      <c r="U70" s="120"/>
      <c r="V70" s="120"/>
      <c r="W70" s="120"/>
      <c r="X70" s="120"/>
      <c r="Y70" s="120"/>
      <c r="Z70" s="120"/>
    </row>
    <row r="71">
      <c r="A71" s="139"/>
      <c r="B71" s="142">
        <v>3.0</v>
      </c>
      <c r="C71" s="142">
        <v>3.0</v>
      </c>
      <c r="D71" s="142">
        <v>3.0</v>
      </c>
      <c r="E71" s="142">
        <v>3.0</v>
      </c>
      <c r="F71" s="63">
        <v>1.0</v>
      </c>
      <c r="G71" s="139"/>
      <c r="H71" s="142">
        <v>3.0</v>
      </c>
      <c r="I71" s="142">
        <v>3.0</v>
      </c>
      <c r="J71" s="142">
        <v>3.0</v>
      </c>
      <c r="K71" s="142">
        <v>3.0</v>
      </c>
      <c r="L71" s="63">
        <v>1.0</v>
      </c>
      <c r="M71" s="139"/>
      <c r="N71" s="142">
        <v>3.0</v>
      </c>
      <c r="O71" s="142">
        <v>3.0</v>
      </c>
      <c r="P71" s="142">
        <v>3.0</v>
      </c>
      <c r="Q71" s="142">
        <v>3.0</v>
      </c>
      <c r="R71" s="63">
        <v>1.0</v>
      </c>
      <c r="S71" s="120"/>
      <c r="T71" s="120"/>
      <c r="U71" s="120"/>
      <c r="V71" s="120"/>
      <c r="W71" s="120"/>
      <c r="X71" s="120"/>
      <c r="Y71" s="120"/>
      <c r="Z71" s="120"/>
    </row>
    <row r="72">
      <c r="A72" s="139"/>
      <c r="B72" s="143">
        <v>3.0</v>
      </c>
      <c r="C72" s="143">
        <v>3.0</v>
      </c>
      <c r="D72" s="143">
        <v>3.0</v>
      </c>
      <c r="E72" s="143">
        <v>3.0</v>
      </c>
      <c r="F72" s="41"/>
      <c r="G72" s="139"/>
      <c r="H72" s="143">
        <v>3.0</v>
      </c>
      <c r="I72" s="143">
        <v>3.0</v>
      </c>
      <c r="J72" s="143">
        <v>3.0</v>
      </c>
      <c r="K72" s="143">
        <v>3.0</v>
      </c>
      <c r="L72" s="41"/>
      <c r="M72" s="139"/>
      <c r="N72" s="143">
        <v>3.0</v>
      </c>
      <c r="O72" s="143">
        <v>3.0</v>
      </c>
      <c r="P72" s="143">
        <v>3.0</v>
      </c>
      <c r="Q72" s="143">
        <v>3.0</v>
      </c>
      <c r="R72" s="41"/>
      <c r="S72" s="120"/>
      <c r="T72" s="120"/>
      <c r="U72" s="120"/>
      <c r="V72" s="120"/>
      <c r="W72" s="120"/>
      <c r="X72" s="120"/>
      <c r="Y72" s="120"/>
      <c r="Z72" s="120"/>
    </row>
    <row r="73">
      <c r="A73" s="139"/>
      <c r="B73" s="142"/>
      <c r="C73" s="28"/>
      <c r="D73" s="28"/>
      <c r="E73" s="28"/>
      <c r="F73" s="44"/>
      <c r="G73" s="139"/>
      <c r="H73" s="142"/>
      <c r="I73" s="28"/>
      <c r="J73" s="28"/>
      <c r="K73" s="28"/>
      <c r="L73" s="44"/>
      <c r="M73" s="139"/>
      <c r="N73" s="142"/>
      <c r="O73" s="28"/>
      <c r="P73" s="28"/>
      <c r="Q73" s="28"/>
      <c r="R73" s="44"/>
      <c r="S73" s="120"/>
      <c r="T73" s="120"/>
      <c r="U73" s="120"/>
      <c r="V73" s="120"/>
      <c r="W73" s="120"/>
      <c r="X73" s="120"/>
      <c r="Y73" s="120"/>
      <c r="Z73" s="120"/>
    </row>
    <row r="74">
      <c r="A74" s="139"/>
      <c r="B74" s="33">
        <v>818.0</v>
      </c>
      <c r="C74" s="33">
        <v>4.0</v>
      </c>
      <c r="D74" s="33">
        <v>4.0</v>
      </c>
      <c r="E74" s="33">
        <v>4.0</v>
      </c>
      <c r="F74" s="34"/>
      <c r="G74" s="139"/>
      <c r="H74" s="33">
        <v>893.0</v>
      </c>
      <c r="I74" s="33">
        <v>4.0</v>
      </c>
      <c r="J74" s="33">
        <v>4.0</v>
      </c>
      <c r="K74" s="33">
        <v>4.0</v>
      </c>
      <c r="L74" s="34"/>
      <c r="M74" s="139"/>
      <c r="N74" s="33">
        <v>943.0</v>
      </c>
      <c r="O74" s="33">
        <v>4.0</v>
      </c>
      <c r="P74" s="33">
        <v>4.0</v>
      </c>
      <c r="Q74" s="33">
        <v>4.0</v>
      </c>
      <c r="R74" s="34"/>
      <c r="S74" s="120"/>
      <c r="T74" s="120"/>
      <c r="U74" s="120"/>
      <c r="V74" s="120"/>
      <c r="W74" s="120"/>
      <c r="X74" s="120"/>
      <c r="Y74" s="120"/>
      <c r="Z74" s="120"/>
    </row>
    <row r="75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>
      <c r="A76" s="120"/>
      <c r="B76" s="120" t="s">
        <v>237</v>
      </c>
      <c r="C76" s="138"/>
      <c r="D76" s="138"/>
      <c r="E76" s="138"/>
      <c r="F76" s="138"/>
      <c r="G76" s="120"/>
      <c r="H76" s="120" t="s">
        <v>238</v>
      </c>
      <c r="I76" s="138"/>
      <c r="J76" s="138"/>
      <c r="K76" s="138"/>
      <c r="L76" s="138"/>
      <c r="M76" s="120"/>
      <c r="N76" s="120" t="s">
        <v>239</v>
      </c>
      <c r="O76" s="138"/>
      <c r="P76" s="138"/>
      <c r="Q76" s="138"/>
      <c r="R76" s="138"/>
      <c r="S76" s="120"/>
      <c r="T76" s="120"/>
      <c r="U76" s="120"/>
      <c r="V76" s="120"/>
      <c r="W76" s="120"/>
      <c r="X76" s="120"/>
      <c r="Y76" s="120"/>
      <c r="Z76" s="120"/>
    </row>
    <row r="77">
      <c r="A77" s="139" t="s">
        <v>241</v>
      </c>
      <c r="B77" s="33">
        <v>9.0</v>
      </c>
      <c r="C77" s="33"/>
      <c r="D77" s="33"/>
      <c r="E77" s="33"/>
      <c r="F77" s="141">
        <v>119.0</v>
      </c>
      <c r="G77" s="139"/>
      <c r="H77" s="33">
        <v>15.0</v>
      </c>
      <c r="I77" s="33"/>
      <c r="J77" s="33"/>
      <c r="K77" s="33"/>
      <c r="L77" s="141">
        <v>129.0</v>
      </c>
      <c r="M77" s="139"/>
      <c r="N77" s="33">
        <v>21.0</v>
      </c>
      <c r="O77" s="33"/>
      <c r="P77" s="33"/>
      <c r="Q77" s="33"/>
      <c r="R77" s="141">
        <v>139.0</v>
      </c>
      <c r="S77" s="120"/>
      <c r="T77" s="120"/>
      <c r="U77" s="120"/>
      <c r="V77" s="120"/>
      <c r="W77" s="120"/>
      <c r="X77" s="120"/>
      <c r="Y77" s="120"/>
      <c r="Z77" s="120"/>
    </row>
    <row r="78">
      <c r="A78" s="139"/>
      <c r="B78" s="28"/>
      <c r="C78" s="28"/>
      <c r="D78" s="28"/>
      <c r="E78" s="28"/>
      <c r="F78" s="44"/>
      <c r="G78" s="139"/>
      <c r="H78" s="28"/>
      <c r="I78" s="28"/>
      <c r="J78" s="28"/>
      <c r="K78" s="28"/>
      <c r="L78" s="44"/>
      <c r="M78" s="139"/>
      <c r="N78" s="28"/>
      <c r="O78" s="28"/>
      <c r="P78" s="28"/>
      <c r="Q78" s="28"/>
      <c r="R78" s="44"/>
      <c r="S78" s="120"/>
      <c r="T78" s="120"/>
      <c r="U78" s="120"/>
      <c r="V78" s="120"/>
      <c r="W78" s="120"/>
      <c r="X78" s="120"/>
      <c r="Y78" s="120"/>
      <c r="Z78" s="120"/>
    </row>
    <row r="79">
      <c r="A79" s="139"/>
      <c r="B79" s="33"/>
      <c r="C79" s="33"/>
      <c r="D79" s="33"/>
      <c r="E79" s="33"/>
      <c r="F79" s="34"/>
      <c r="G79" s="139"/>
      <c r="H79" s="33"/>
      <c r="I79" s="33"/>
      <c r="J79" s="33"/>
      <c r="K79" s="33"/>
      <c r="L79" s="34"/>
      <c r="M79" s="139"/>
      <c r="N79" s="33"/>
      <c r="O79" s="33"/>
      <c r="P79" s="33"/>
      <c r="Q79" s="33"/>
      <c r="R79" s="34"/>
      <c r="S79" s="120"/>
      <c r="T79" s="120"/>
      <c r="U79" s="120"/>
      <c r="V79" s="120"/>
      <c r="W79" s="120"/>
      <c r="X79" s="120"/>
      <c r="Y79" s="120"/>
      <c r="Z79" s="120"/>
    </row>
    <row r="80">
      <c r="A80" s="139"/>
      <c r="B80" s="142">
        <v>17.0</v>
      </c>
      <c r="C80" s="142">
        <v>29.0</v>
      </c>
      <c r="D80" s="142">
        <v>15.0</v>
      </c>
      <c r="E80" s="142">
        <v>15.0</v>
      </c>
      <c r="F80" s="44"/>
      <c r="G80" s="139"/>
      <c r="H80" s="142">
        <v>3.0</v>
      </c>
      <c r="I80" s="142">
        <v>3.0</v>
      </c>
      <c r="J80" s="142">
        <v>3.0</v>
      </c>
      <c r="K80" s="142">
        <v>3.0</v>
      </c>
      <c r="L80" s="63">
        <v>4.0</v>
      </c>
      <c r="M80" s="139"/>
      <c r="N80" s="142">
        <v>6.0</v>
      </c>
      <c r="O80" s="142">
        <v>6.0</v>
      </c>
      <c r="P80" s="142">
        <v>6.0</v>
      </c>
      <c r="Q80" s="142">
        <v>6.0</v>
      </c>
      <c r="R80" s="63">
        <v>6.0</v>
      </c>
      <c r="S80" s="120"/>
      <c r="T80" s="120"/>
      <c r="U80" s="120"/>
      <c r="V80" s="120"/>
      <c r="W80" s="120"/>
      <c r="X80" s="120"/>
      <c r="Y80" s="120"/>
      <c r="Z80" s="120"/>
    </row>
    <row r="81">
      <c r="A81" s="139"/>
      <c r="B81" s="143">
        <v>31.0</v>
      </c>
      <c r="C81" s="143">
        <v>9.0</v>
      </c>
      <c r="D81" s="47"/>
      <c r="E81" s="47"/>
      <c r="F81" s="41"/>
      <c r="G81" s="139"/>
      <c r="H81" s="143">
        <v>46.0</v>
      </c>
      <c r="I81" s="143">
        <v>9.0</v>
      </c>
      <c r="J81" s="47"/>
      <c r="K81" s="47"/>
      <c r="L81" s="41"/>
      <c r="M81" s="139"/>
      <c r="N81" s="143">
        <v>61.0</v>
      </c>
      <c r="O81" s="143">
        <v>9.0</v>
      </c>
      <c r="P81" s="47"/>
      <c r="Q81" s="47"/>
      <c r="R81" s="41"/>
      <c r="S81" s="120"/>
      <c r="T81" s="120"/>
      <c r="U81" s="120"/>
      <c r="V81" s="120"/>
      <c r="W81" s="120"/>
      <c r="X81" s="120"/>
      <c r="Y81" s="120"/>
      <c r="Z81" s="120"/>
    </row>
    <row r="82">
      <c r="A82" s="139"/>
      <c r="B82" s="142"/>
      <c r="C82" s="28"/>
      <c r="D82" s="28"/>
      <c r="E82" s="28"/>
      <c r="F82" s="44"/>
      <c r="G82" s="139"/>
      <c r="H82" s="142"/>
      <c r="I82" s="28"/>
      <c r="J82" s="28"/>
      <c r="K82" s="28"/>
      <c r="L82" s="44"/>
      <c r="M82" s="139"/>
      <c r="N82" s="142"/>
      <c r="O82" s="28"/>
      <c r="P82" s="28"/>
      <c r="Q82" s="28"/>
      <c r="R82" s="44"/>
      <c r="S82" s="120"/>
      <c r="T82" s="120"/>
      <c r="U82" s="120"/>
      <c r="V82" s="120"/>
      <c r="W82" s="120"/>
      <c r="X82" s="120"/>
      <c r="Y82" s="120"/>
      <c r="Z82" s="120"/>
    </row>
    <row r="83">
      <c r="A83" s="139"/>
      <c r="B83" s="47"/>
      <c r="C83" s="47"/>
      <c r="D83" s="47"/>
      <c r="E83" s="47"/>
      <c r="F83" s="144">
        <v>11.0</v>
      </c>
      <c r="G83" s="139"/>
      <c r="H83" s="47"/>
      <c r="I83" s="47"/>
      <c r="J83" s="47"/>
      <c r="K83" s="47"/>
      <c r="L83" s="144">
        <v>15.0</v>
      </c>
      <c r="M83" s="139"/>
      <c r="N83" s="47"/>
      <c r="O83" s="47"/>
      <c r="P83" s="47"/>
      <c r="Q83" s="47"/>
      <c r="R83" s="144">
        <v>19.0</v>
      </c>
      <c r="S83" s="120"/>
      <c r="T83" s="120"/>
      <c r="U83" s="120"/>
      <c r="V83" s="120"/>
      <c r="W83" s="120"/>
      <c r="X83" s="120"/>
      <c r="Y83" s="120"/>
      <c r="Z83" s="120"/>
    </row>
    <row r="84">
      <c r="A84" s="139"/>
      <c r="B84" s="28"/>
      <c r="C84" s="28"/>
      <c r="D84" s="28"/>
      <c r="E84" s="28"/>
      <c r="F84" s="63">
        <v>9.0</v>
      </c>
      <c r="G84" s="139"/>
      <c r="H84" s="28"/>
      <c r="I84" s="28"/>
      <c r="J84" s="28"/>
      <c r="K84" s="28"/>
      <c r="L84" s="63">
        <v>13.0</v>
      </c>
      <c r="M84" s="139"/>
      <c r="N84" s="28"/>
      <c r="O84" s="28"/>
      <c r="P84" s="28"/>
      <c r="Q84" s="28"/>
      <c r="R84" s="63">
        <v>17.0</v>
      </c>
      <c r="S84" s="120"/>
      <c r="T84" s="120"/>
      <c r="U84" s="120"/>
      <c r="V84" s="120"/>
      <c r="W84" s="120"/>
      <c r="X84" s="120"/>
      <c r="Y84" s="120"/>
      <c r="Z84" s="120"/>
    </row>
    <row r="85">
      <c r="A85" s="139"/>
      <c r="B85" s="47"/>
      <c r="C85" s="47"/>
      <c r="D85" s="47"/>
      <c r="E85" s="47"/>
      <c r="F85" s="144">
        <v>15.0</v>
      </c>
      <c r="G85" s="139"/>
      <c r="H85" s="47"/>
      <c r="I85" s="47"/>
      <c r="J85" s="47"/>
      <c r="K85" s="47"/>
      <c r="L85" s="144">
        <v>17.0</v>
      </c>
      <c r="M85" s="139"/>
      <c r="N85" s="47"/>
      <c r="O85" s="47"/>
      <c r="P85" s="47"/>
      <c r="Q85" s="47"/>
      <c r="R85" s="144">
        <v>22.0</v>
      </c>
      <c r="S85" s="120"/>
      <c r="T85" s="120"/>
      <c r="U85" s="120"/>
      <c r="V85" s="120"/>
      <c r="W85" s="120"/>
      <c r="X85" s="120"/>
      <c r="Y85" s="120"/>
      <c r="Z85" s="120"/>
    </row>
    <row r="86">
      <c r="A86" s="139"/>
      <c r="B86" s="142"/>
      <c r="C86" s="28"/>
      <c r="D86" s="28"/>
      <c r="E86" s="28"/>
      <c r="F86" s="44"/>
      <c r="G86" s="139"/>
      <c r="H86" s="142"/>
      <c r="I86" s="28"/>
      <c r="J86" s="28"/>
      <c r="K86" s="28"/>
      <c r="L86" s="44"/>
      <c r="M86" s="139"/>
      <c r="N86" s="142"/>
      <c r="O86" s="28"/>
      <c r="P86" s="28"/>
      <c r="Q86" s="28"/>
      <c r="R86" s="44"/>
      <c r="S86" s="120"/>
      <c r="T86" s="120"/>
      <c r="U86" s="120"/>
      <c r="V86" s="120"/>
      <c r="W86" s="120"/>
      <c r="X86" s="120"/>
      <c r="Y86" s="120"/>
      <c r="Z86" s="120"/>
    </row>
    <row r="87">
      <c r="A87" s="139"/>
      <c r="B87" s="33"/>
      <c r="C87" s="33"/>
      <c r="D87" s="33"/>
      <c r="E87" s="33"/>
      <c r="F87" s="34"/>
      <c r="G87" s="139"/>
      <c r="H87" s="33"/>
      <c r="I87" s="33"/>
      <c r="J87" s="33"/>
      <c r="K87" s="33"/>
      <c r="L87" s="34"/>
      <c r="M87" s="139"/>
      <c r="N87" s="33"/>
      <c r="O87" s="33"/>
      <c r="P87" s="33"/>
      <c r="Q87" s="33"/>
      <c r="R87" s="34"/>
      <c r="S87" s="120"/>
      <c r="T87" s="120"/>
      <c r="U87" s="120"/>
      <c r="V87" s="120"/>
      <c r="W87" s="120"/>
      <c r="X87" s="120"/>
      <c r="Y87" s="120"/>
      <c r="Z87" s="120"/>
    </row>
    <row r="88">
      <c r="A88" s="139"/>
      <c r="B88" s="142"/>
      <c r="C88" s="142">
        <v>10.0</v>
      </c>
      <c r="D88" s="28"/>
      <c r="E88" s="28"/>
      <c r="F88" s="44"/>
      <c r="G88" s="139"/>
      <c r="H88" s="142">
        <v>2.0</v>
      </c>
      <c r="I88" s="142">
        <v>12.0</v>
      </c>
      <c r="J88" s="142">
        <v>2.0</v>
      </c>
      <c r="K88" s="142">
        <v>2.0</v>
      </c>
      <c r="L88" s="44"/>
      <c r="M88" s="139"/>
      <c r="N88" s="142">
        <v>2.0</v>
      </c>
      <c r="O88" s="142">
        <v>15.0</v>
      </c>
      <c r="P88" s="142">
        <v>2.0</v>
      </c>
      <c r="Q88" s="142">
        <v>2.0</v>
      </c>
      <c r="R88" s="44"/>
      <c r="S88" s="120"/>
      <c r="T88" s="120"/>
      <c r="U88" s="120"/>
      <c r="V88" s="120"/>
      <c r="W88" s="120"/>
      <c r="X88" s="120"/>
      <c r="Y88" s="120"/>
      <c r="Z88" s="120"/>
    </row>
    <row r="89">
      <c r="A89" s="139"/>
      <c r="B89" s="47"/>
      <c r="C89" s="143">
        <v>1.0</v>
      </c>
      <c r="D89" s="47"/>
      <c r="E89" s="47"/>
      <c r="F89" s="41"/>
      <c r="G89" s="139"/>
      <c r="H89" s="143">
        <v>2.0</v>
      </c>
      <c r="I89" s="47"/>
      <c r="J89" s="47"/>
      <c r="K89" s="47"/>
      <c r="L89" s="41"/>
      <c r="M89" s="139"/>
      <c r="N89" s="143">
        <v>8.0</v>
      </c>
      <c r="O89" s="47"/>
      <c r="P89" s="47"/>
      <c r="Q89" s="47"/>
      <c r="R89" s="41"/>
      <c r="S89" s="120"/>
      <c r="T89" s="120"/>
      <c r="U89" s="120"/>
      <c r="V89" s="120"/>
      <c r="W89" s="120"/>
      <c r="X89" s="120"/>
      <c r="Y89" s="120"/>
      <c r="Z89" s="120"/>
    </row>
    <row r="90">
      <c r="A90" s="139"/>
      <c r="B90" s="142">
        <v>6.0</v>
      </c>
      <c r="C90" s="142">
        <v>3.0</v>
      </c>
      <c r="D90" s="28"/>
      <c r="E90" s="28"/>
      <c r="F90" s="44"/>
      <c r="G90" s="139"/>
      <c r="H90" s="142">
        <v>6.0</v>
      </c>
      <c r="I90" s="142">
        <v>5.0</v>
      </c>
      <c r="J90" s="28"/>
      <c r="K90" s="28"/>
      <c r="L90" s="44"/>
      <c r="M90" s="139"/>
      <c r="N90" s="142">
        <v>11.0</v>
      </c>
      <c r="O90" s="28"/>
      <c r="P90" s="28"/>
      <c r="Q90" s="28"/>
      <c r="R90" s="44"/>
      <c r="S90" s="120"/>
      <c r="T90" s="120"/>
      <c r="U90" s="120"/>
      <c r="V90" s="120"/>
      <c r="W90" s="120"/>
      <c r="X90" s="120"/>
      <c r="Y90" s="120"/>
      <c r="Z90" s="120"/>
    </row>
    <row r="91">
      <c r="A91" s="139"/>
      <c r="B91" s="143">
        <v>7.0</v>
      </c>
      <c r="C91" s="143">
        <v>7.0</v>
      </c>
      <c r="D91" s="143">
        <v>7.0</v>
      </c>
      <c r="E91" s="143">
        <v>7.0</v>
      </c>
      <c r="F91" s="144">
        <v>4.0</v>
      </c>
      <c r="G91" s="139"/>
      <c r="H91" s="143">
        <v>7.0</v>
      </c>
      <c r="I91" s="143">
        <v>7.0</v>
      </c>
      <c r="J91" s="143">
        <v>7.0</v>
      </c>
      <c r="K91" s="143">
        <v>7.0</v>
      </c>
      <c r="L91" s="144">
        <v>6.0</v>
      </c>
      <c r="M91" s="139"/>
      <c r="N91" s="143">
        <v>10.0</v>
      </c>
      <c r="O91" s="143">
        <v>10.0</v>
      </c>
      <c r="P91" s="143">
        <v>10.0</v>
      </c>
      <c r="Q91" s="143">
        <v>10.0</v>
      </c>
      <c r="R91" s="144">
        <v>8.0</v>
      </c>
      <c r="S91" s="120"/>
      <c r="T91" s="120"/>
      <c r="U91" s="120"/>
      <c r="V91" s="120"/>
      <c r="W91" s="120"/>
      <c r="X91" s="120"/>
      <c r="Y91" s="120"/>
      <c r="Z91" s="120"/>
    </row>
    <row r="92">
      <c r="A92" s="139"/>
      <c r="B92" s="142"/>
      <c r="C92" s="28"/>
      <c r="D92" s="28"/>
      <c r="E92" s="28"/>
      <c r="F92" s="44"/>
      <c r="G92" s="139"/>
      <c r="H92" s="142"/>
      <c r="I92" s="28"/>
      <c r="J92" s="28"/>
      <c r="K92" s="28"/>
      <c r="L92" s="44"/>
      <c r="M92" s="139"/>
      <c r="N92" s="142"/>
      <c r="O92" s="28"/>
      <c r="P92" s="28"/>
      <c r="Q92" s="28"/>
      <c r="R92" s="44"/>
      <c r="S92" s="120"/>
      <c r="T92" s="120"/>
      <c r="U92" s="120"/>
      <c r="V92" s="120"/>
      <c r="W92" s="120"/>
      <c r="X92" s="120"/>
      <c r="Y92" s="120"/>
      <c r="Z92" s="120"/>
    </row>
    <row r="93">
      <c r="A93" s="139"/>
      <c r="B93" s="143">
        <v>2.0</v>
      </c>
      <c r="C93" s="143">
        <v>2.0</v>
      </c>
      <c r="D93" s="143">
        <v>2.0</v>
      </c>
      <c r="E93" s="143">
        <v>2.0</v>
      </c>
      <c r="F93" s="41"/>
      <c r="G93" s="139"/>
      <c r="H93" s="143">
        <v>2.0</v>
      </c>
      <c r="I93" s="143">
        <v>2.0</v>
      </c>
      <c r="J93" s="143">
        <v>2.0</v>
      </c>
      <c r="K93" s="143">
        <v>2.0</v>
      </c>
      <c r="L93" s="41"/>
      <c r="M93" s="139"/>
      <c r="N93" s="143">
        <v>2.0</v>
      </c>
      <c r="O93" s="143">
        <v>2.0</v>
      </c>
      <c r="P93" s="143">
        <v>2.0</v>
      </c>
      <c r="Q93" s="143">
        <v>2.0</v>
      </c>
      <c r="R93" s="41"/>
      <c r="S93" s="120"/>
      <c r="T93" s="120"/>
      <c r="U93" s="120"/>
      <c r="V93" s="120"/>
      <c r="W93" s="120"/>
      <c r="X93" s="120"/>
      <c r="Y93" s="120"/>
      <c r="Z93" s="120"/>
    </row>
    <row r="94">
      <c r="A94" s="139"/>
      <c r="B94" s="142">
        <v>1.0</v>
      </c>
      <c r="C94" s="142">
        <v>1.0</v>
      </c>
      <c r="D94" s="142">
        <v>1.0</v>
      </c>
      <c r="E94" s="142">
        <v>1.0</v>
      </c>
      <c r="F94" s="44"/>
      <c r="G94" s="139"/>
      <c r="H94" s="142">
        <v>1.0</v>
      </c>
      <c r="I94" s="142">
        <v>1.0</v>
      </c>
      <c r="J94" s="142">
        <v>1.0</v>
      </c>
      <c r="K94" s="142">
        <v>1.0</v>
      </c>
      <c r="L94" s="44"/>
      <c r="M94" s="139"/>
      <c r="N94" s="142">
        <v>1.0</v>
      </c>
      <c r="O94" s="142">
        <v>1.0</v>
      </c>
      <c r="P94" s="142">
        <v>1.0</v>
      </c>
      <c r="Q94" s="142">
        <v>1.0</v>
      </c>
      <c r="R94" s="44"/>
      <c r="S94" s="120"/>
      <c r="T94" s="120"/>
      <c r="U94" s="120"/>
      <c r="V94" s="120"/>
      <c r="W94" s="120"/>
      <c r="X94" s="120"/>
      <c r="Y94" s="120"/>
      <c r="Z94" s="120"/>
    </row>
    <row r="95">
      <c r="A95" s="139"/>
      <c r="B95" s="143">
        <v>1.0</v>
      </c>
      <c r="C95" s="143">
        <v>1.0</v>
      </c>
      <c r="D95" s="143">
        <v>1.0</v>
      </c>
      <c r="E95" s="143">
        <v>1.0</v>
      </c>
      <c r="F95" s="41"/>
      <c r="G95" s="139"/>
      <c r="H95" s="143">
        <v>1.0</v>
      </c>
      <c r="I95" s="143">
        <v>1.0</v>
      </c>
      <c r="J95" s="143">
        <v>1.0</v>
      </c>
      <c r="K95" s="143">
        <v>1.0</v>
      </c>
      <c r="L95" s="41"/>
      <c r="M95" s="139"/>
      <c r="N95" s="143">
        <v>1.0</v>
      </c>
      <c r="O95" s="143">
        <v>1.0</v>
      </c>
      <c r="P95" s="143">
        <v>1.0</v>
      </c>
      <c r="Q95" s="143">
        <v>1.0</v>
      </c>
      <c r="R95" s="41"/>
      <c r="S95" s="120"/>
      <c r="T95" s="120"/>
      <c r="U95" s="120"/>
      <c r="V95" s="120"/>
      <c r="W95" s="120"/>
      <c r="X95" s="120"/>
      <c r="Y95" s="120"/>
      <c r="Z95" s="120"/>
    </row>
    <row r="96">
      <c r="A96" s="139"/>
      <c r="B96" s="142">
        <v>3.0</v>
      </c>
      <c r="C96" s="142">
        <v>3.0</v>
      </c>
      <c r="D96" s="142">
        <v>3.0</v>
      </c>
      <c r="E96" s="142">
        <v>3.0</v>
      </c>
      <c r="F96" s="63">
        <v>1.0</v>
      </c>
      <c r="G96" s="139"/>
      <c r="H96" s="142">
        <v>3.0</v>
      </c>
      <c r="I96" s="142">
        <v>3.0</v>
      </c>
      <c r="J96" s="142">
        <v>3.0</v>
      </c>
      <c r="K96" s="142">
        <v>3.0</v>
      </c>
      <c r="L96" s="63">
        <v>1.0</v>
      </c>
      <c r="M96" s="139"/>
      <c r="N96" s="142">
        <v>3.0</v>
      </c>
      <c r="O96" s="142">
        <v>3.0</v>
      </c>
      <c r="P96" s="142">
        <v>3.0</v>
      </c>
      <c r="Q96" s="142">
        <v>3.0</v>
      </c>
      <c r="R96" s="63">
        <v>1.0</v>
      </c>
      <c r="S96" s="120"/>
      <c r="T96" s="120"/>
      <c r="U96" s="120"/>
      <c r="V96" s="120"/>
      <c r="W96" s="120"/>
      <c r="X96" s="120"/>
      <c r="Y96" s="120"/>
      <c r="Z96" s="120"/>
    </row>
    <row r="97">
      <c r="A97" s="139"/>
      <c r="B97" s="143">
        <v>3.0</v>
      </c>
      <c r="C97" s="143">
        <v>3.0</v>
      </c>
      <c r="D97" s="143">
        <v>3.0</v>
      </c>
      <c r="E97" s="143">
        <v>3.0</v>
      </c>
      <c r="F97" s="41"/>
      <c r="G97" s="139"/>
      <c r="H97" s="143">
        <v>3.0</v>
      </c>
      <c r="I97" s="143">
        <v>3.0</v>
      </c>
      <c r="J97" s="143">
        <v>3.0</v>
      </c>
      <c r="K97" s="143">
        <v>3.0</v>
      </c>
      <c r="L97" s="41"/>
      <c r="M97" s="139"/>
      <c r="N97" s="143">
        <v>3.0</v>
      </c>
      <c r="O97" s="143">
        <v>3.0</v>
      </c>
      <c r="P97" s="143">
        <v>3.0</v>
      </c>
      <c r="Q97" s="143">
        <v>3.0</v>
      </c>
      <c r="R97" s="41"/>
      <c r="S97" s="120"/>
      <c r="T97" s="120"/>
      <c r="U97" s="120"/>
      <c r="V97" s="120"/>
      <c r="W97" s="120"/>
      <c r="X97" s="120"/>
      <c r="Y97" s="120"/>
      <c r="Z97" s="120"/>
    </row>
    <row r="98">
      <c r="A98" s="139"/>
      <c r="B98" s="142"/>
      <c r="C98" s="28"/>
      <c r="D98" s="28"/>
      <c r="E98" s="28"/>
      <c r="F98" s="44"/>
      <c r="G98" s="139"/>
      <c r="H98" s="142"/>
      <c r="I98" s="28"/>
      <c r="J98" s="28"/>
      <c r="K98" s="28"/>
      <c r="L98" s="44"/>
      <c r="M98" s="139"/>
      <c r="N98" s="142"/>
      <c r="O98" s="28"/>
      <c r="P98" s="28"/>
      <c r="Q98" s="28"/>
      <c r="R98" s="44"/>
      <c r="S98" s="120"/>
      <c r="T98" s="120"/>
      <c r="U98" s="120"/>
      <c r="V98" s="120"/>
      <c r="W98" s="120"/>
      <c r="X98" s="120"/>
      <c r="Y98" s="120"/>
      <c r="Z98" s="120"/>
    </row>
    <row r="99">
      <c r="A99" s="139"/>
      <c r="B99" s="33">
        <v>818.0</v>
      </c>
      <c r="C99" s="33">
        <v>4.0</v>
      </c>
      <c r="D99" s="33">
        <v>4.0</v>
      </c>
      <c r="E99" s="33">
        <v>4.0</v>
      </c>
      <c r="F99" s="34"/>
      <c r="G99" s="139"/>
      <c r="H99" s="33">
        <v>893.0</v>
      </c>
      <c r="I99" s="33">
        <v>4.0</v>
      </c>
      <c r="J99" s="33">
        <v>4.0</v>
      </c>
      <c r="K99" s="33">
        <v>4.0</v>
      </c>
      <c r="L99" s="34"/>
      <c r="M99" s="139"/>
      <c r="N99" s="33">
        <v>938.0</v>
      </c>
      <c r="O99" s="33">
        <v>4.0</v>
      </c>
      <c r="P99" s="33">
        <v>4.0</v>
      </c>
      <c r="Q99" s="33">
        <v>4.0</v>
      </c>
      <c r="R99" s="34"/>
      <c r="S99" s="120"/>
      <c r="T99" s="120"/>
      <c r="U99" s="120"/>
      <c r="V99" s="120"/>
      <c r="W99" s="120"/>
      <c r="X99" s="120"/>
      <c r="Y99" s="120"/>
      <c r="Z99" s="120"/>
    </row>
    <row r="100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>
      <c r="A101" s="120"/>
      <c r="B101" s="138" t="s">
        <v>237</v>
      </c>
      <c r="C101" s="138"/>
      <c r="D101" s="138"/>
      <c r="E101" s="138"/>
      <c r="F101" s="138"/>
      <c r="G101" s="120"/>
      <c r="H101" s="138" t="s">
        <v>238</v>
      </c>
      <c r="I101" s="138"/>
      <c r="J101" s="138"/>
      <c r="K101" s="138"/>
      <c r="L101" s="138"/>
      <c r="M101" s="120"/>
      <c r="N101" s="138" t="s">
        <v>239</v>
      </c>
      <c r="O101" s="138"/>
      <c r="P101" s="138"/>
      <c r="Q101" s="138"/>
      <c r="R101" s="138"/>
      <c r="S101" s="120"/>
      <c r="T101" s="120"/>
      <c r="U101" s="120"/>
      <c r="V101" s="120"/>
      <c r="W101" s="120"/>
      <c r="X101" s="120"/>
      <c r="Y101" s="120"/>
      <c r="Z101" s="120"/>
    </row>
    <row r="102">
      <c r="A102" s="139" t="s">
        <v>151</v>
      </c>
      <c r="B102" s="33"/>
      <c r="C102" s="140">
        <v>3.0</v>
      </c>
      <c r="D102" s="33"/>
      <c r="E102" s="33"/>
      <c r="F102" s="141">
        <v>125.0</v>
      </c>
      <c r="G102" s="139"/>
      <c r="H102" s="33"/>
      <c r="I102" s="140">
        <v>5.0</v>
      </c>
      <c r="J102" s="33"/>
      <c r="K102" s="33"/>
      <c r="L102" s="141">
        <v>135.0</v>
      </c>
      <c r="M102" s="139"/>
      <c r="N102" s="33"/>
      <c r="O102" s="140">
        <v>7.0</v>
      </c>
      <c r="P102" s="33"/>
      <c r="Q102" s="33"/>
      <c r="R102" s="141">
        <v>145.0</v>
      </c>
      <c r="S102" s="120"/>
      <c r="T102" s="120"/>
      <c r="U102" s="120"/>
      <c r="V102" s="120"/>
      <c r="W102" s="120"/>
      <c r="X102" s="120"/>
      <c r="Y102" s="120"/>
      <c r="Z102" s="120"/>
    </row>
    <row r="103">
      <c r="A103" s="139"/>
      <c r="B103" s="28"/>
      <c r="C103" s="28"/>
      <c r="D103" s="28"/>
      <c r="E103" s="28"/>
      <c r="F103" s="44"/>
      <c r="G103" s="139"/>
      <c r="H103" s="28"/>
      <c r="I103" s="28"/>
      <c r="J103" s="28"/>
      <c r="K103" s="28"/>
      <c r="L103" s="44"/>
      <c r="M103" s="139"/>
      <c r="N103" s="28"/>
      <c r="O103" s="28"/>
      <c r="P103" s="28"/>
      <c r="Q103" s="28"/>
      <c r="R103" s="44"/>
      <c r="S103" s="120"/>
      <c r="T103" s="120"/>
      <c r="U103" s="120"/>
      <c r="V103" s="120"/>
      <c r="W103" s="120"/>
      <c r="X103" s="120"/>
      <c r="Y103" s="120"/>
      <c r="Z103" s="120"/>
    </row>
    <row r="104">
      <c r="A104" s="139"/>
      <c r="B104" s="33"/>
      <c r="C104" s="33"/>
      <c r="D104" s="33"/>
      <c r="E104" s="33"/>
      <c r="F104" s="34"/>
      <c r="G104" s="139"/>
      <c r="H104" s="33"/>
      <c r="I104" s="33"/>
      <c r="J104" s="33"/>
      <c r="K104" s="33"/>
      <c r="L104" s="34"/>
      <c r="M104" s="139"/>
      <c r="N104" s="33"/>
      <c r="O104" s="33"/>
      <c r="P104" s="33"/>
      <c r="Q104" s="33"/>
      <c r="R104" s="34"/>
      <c r="S104" s="120"/>
      <c r="T104" s="120"/>
      <c r="U104" s="120"/>
      <c r="V104" s="120"/>
      <c r="W104" s="120"/>
      <c r="X104" s="120"/>
      <c r="Y104" s="120"/>
      <c r="Z104" s="120"/>
    </row>
    <row r="105">
      <c r="A105" s="139"/>
      <c r="B105" s="142">
        <v>17.0</v>
      </c>
      <c r="C105" s="142">
        <v>29.0</v>
      </c>
      <c r="D105" s="142">
        <v>15.0</v>
      </c>
      <c r="E105" s="142">
        <v>15.0</v>
      </c>
      <c r="F105" s="44"/>
      <c r="G105" s="139"/>
      <c r="H105" s="142">
        <v>17.0</v>
      </c>
      <c r="I105" s="142">
        <v>38.0</v>
      </c>
      <c r="J105" s="142">
        <v>15.0</v>
      </c>
      <c r="K105" s="142">
        <v>15.0</v>
      </c>
      <c r="L105" s="44"/>
      <c r="M105" s="139"/>
      <c r="N105" s="142">
        <v>17.0</v>
      </c>
      <c r="O105" s="142">
        <v>47.0</v>
      </c>
      <c r="P105" s="142">
        <v>15.0</v>
      </c>
      <c r="Q105" s="142">
        <v>15.0</v>
      </c>
      <c r="R105" s="44"/>
      <c r="S105" s="120"/>
      <c r="T105" s="120"/>
      <c r="U105" s="120"/>
      <c r="V105" s="120"/>
      <c r="W105" s="120"/>
      <c r="X105" s="120"/>
      <c r="Y105" s="120"/>
      <c r="Z105" s="120"/>
    </row>
    <row r="106">
      <c r="A106" s="139"/>
      <c r="B106" s="143">
        <v>30.0</v>
      </c>
      <c r="C106" s="143">
        <v>12.0</v>
      </c>
      <c r="D106" s="47"/>
      <c r="E106" s="47"/>
      <c r="F106" s="41"/>
      <c r="G106" s="139"/>
      <c r="H106" s="143">
        <v>30.0</v>
      </c>
      <c r="I106" s="143">
        <v>27.0</v>
      </c>
      <c r="J106" s="47"/>
      <c r="K106" s="47"/>
      <c r="L106" s="41"/>
      <c r="M106" s="139"/>
      <c r="N106" s="143">
        <v>30.0</v>
      </c>
      <c r="O106" s="143">
        <v>42.0</v>
      </c>
      <c r="P106" s="47"/>
      <c r="Q106" s="47"/>
      <c r="R106" s="41"/>
      <c r="S106" s="120"/>
      <c r="T106" s="120"/>
      <c r="U106" s="120"/>
      <c r="V106" s="120"/>
      <c r="W106" s="120"/>
      <c r="X106" s="120"/>
      <c r="Y106" s="120"/>
      <c r="Z106" s="120"/>
    </row>
    <row r="107">
      <c r="A107" s="139"/>
      <c r="B107" s="142"/>
      <c r="C107" s="28"/>
      <c r="D107" s="28"/>
      <c r="E107" s="28"/>
      <c r="F107" s="44"/>
      <c r="G107" s="139"/>
      <c r="H107" s="142"/>
      <c r="I107" s="28"/>
      <c r="J107" s="28"/>
      <c r="K107" s="28"/>
      <c r="L107" s="44"/>
      <c r="M107" s="139"/>
      <c r="N107" s="142"/>
      <c r="O107" s="28"/>
      <c r="P107" s="28"/>
      <c r="Q107" s="28"/>
      <c r="R107" s="44"/>
      <c r="S107" s="120"/>
      <c r="T107" s="120"/>
      <c r="U107" s="120"/>
      <c r="V107" s="120"/>
      <c r="W107" s="120"/>
      <c r="X107" s="120"/>
      <c r="Y107" s="120"/>
      <c r="Z107" s="120"/>
    </row>
    <row r="108">
      <c r="A108" s="139"/>
      <c r="B108" s="47"/>
      <c r="C108" s="47"/>
      <c r="D108" s="47"/>
      <c r="E108" s="47"/>
      <c r="F108" s="144">
        <v>11.0</v>
      </c>
      <c r="G108" s="139"/>
      <c r="H108" s="47"/>
      <c r="I108" s="47"/>
      <c r="J108" s="47"/>
      <c r="K108" s="47"/>
      <c r="L108" s="144">
        <v>15.0</v>
      </c>
      <c r="M108" s="139"/>
      <c r="N108" s="47"/>
      <c r="O108" s="47"/>
      <c r="P108" s="47"/>
      <c r="Q108" s="47"/>
      <c r="R108" s="144">
        <v>19.0</v>
      </c>
      <c r="S108" s="120"/>
      <c r="T108" s="120"/>
      <c r="U108" s="120"/>
      <c r="V108" s="120"/>
      <c r="W108" s="120"/>
      <c r="X108" s="120"/>
      <c r="Y108" s="120"/>
      <c r="Z108" s="120"/>
    </row>
    <row r="109">
      <c r="A109" s="139"/>
      <c r="B109" s="28"/>
      <c r="C109" s="28"/>
      <c r="D109" s="28"/>
      <c r="E109" s="28"/>
      <c r="F109" s="63">
        <v>9.0</v>
      </c>
      <c r="G109" s="139"/>
      <c r="H109" s="28"/>
      <c r="I109" s="28"/>
      <c r="J109" s="28"/>
      <c r="K109" s="28"/>
      <c r="L109" s="63">
        <v>13.0</v>
      </c>
      <c r="M109" s="139"/>
      <c r="N109" s="28"/>
      <c r="O109" s="28"/>
      <c r="P109" s="28"/>
      <c r="Q109" s="28"/>
      <c r="R109" s="63">
        <v>17.0</v>
      </c>
      <c r="S109" s="120"/>
      <c r="T109" s="120"/>
      <c r="U109" s="120"/>
      <c r="V109" s="120"/>
      <c r="W109" s="120"/>
      <c r="X109" s="120"/>
      <c r="Y109" s="120"/>
      <c r="Z109" s="120"/>
    </row>
    <row r="110">
      <c r="A110" s="139"/>
      <c r="B110" s="47"/>
      <c r="C110" s="47"/>
      <c r="D110" s="47"/>
      <c r="E110" s="47"/>
      <c r="F110" s="144">
        <v>15.0</v>
      </c>
      <c r="G110" s="139"/>
      <c r="H110" s="47"/>
      <c r="I110" s="47"/>
      <c r="J110" s="47"/>
      <c r="K110" s="47"/>
      <c r="L110" s="144">
        <v>17.0</v>
      </c>
      <c r="M110" s="139"/>
      <c r="N110" s="47"/>
      <c r="O110" s="47"/>
      <c r="P110" s="47"/>
      <c r="Q110" s="47"/>
      <c r="R110" s="144">
        <v>22.0</v>
      </c>
      <c r="S110" s="120"/>
      <c r="T110" s="120"/>
      <c r="U110" s="120"/>
      <c r="V110" s="120"/>
      <c r="W110" s="120"/>
      <c r="X110" s="120"/>
      <c r="Y110" s="120"/>
      <c r="Z110" s="120"/>
    </row>
    <row r="111">
      <c r="A111" s="139"/>
      <c r="B111" s="142"/>
      <c r="C111" s="28"/>
      <c r="D111" s="28"/>
      <c r="E111" s="28"/>
      <c r="F111" s="44"/>
      <c r="G111" s="139"/>
      <c r="H111" s="142"/>
      <c r="I111" s="28"/>
      <c r="J111" s="28"/>
      <c r="K111" s="28"/>
      <c r="L111" s="44"/>
      <c r="M111" s="139"/>
      <c r="N111" s="142"/>
      <c r="O111" s="28"/>
      <c r="P111" s="28"/>
      <c r="Q111" s="28"/>
      <c r="R111" s="44"/>
      <c r="S111" s="120"/>
      <c r="T111" s="120"/>
      <c r="U111" s="120"/>
      <c r="V111" s="120"/>
      <c r="W111" s="120"/>
      <c r="X111" s="120"/>
      <c r="Y111" s="120"/>
      <c r="Z111" s="120"/>
    </row>
    <row r="112">
      <c r="A112" s="139"/>
      <c r="B112" s="33"/>
      <c r="C112" s="33"/>
      <c r="D112" s="33"/>
      <c r="E112" s="33"/>
      <c r="F112" s="34"/>
      <c r="G112" s="139"/>
      <c r="H112" s="33"/>
      <c r="I112" s="33"/>
      <c r="J112" s="33"/>
      <c r="K112" s="33"/>
      <c r="L112" s="34"/>
      <c r="M112" s="139"/>
      <c r="N112" s="33"/>
      <c r="O112" s="33"/>
      <c r="P112" s="33"/>
      <c r="Q112" s="33"/>
      <c r="R112" s="34"/>
      <c r="S112" s="120"/>
      <c r="T112" s="120"/>
      <c r="U112" s="120"/>
      <c r="V112" s="120"/>
      <c r="W112" s="120"/>
      <c r="X112" s="120"/>
      <c r="Y112" s="120"/>
      <c r="Z112" s="120"/>
    </row>
    <row r="113">
      <c r="A113" s="139"/>
      <c r="B113" s="142"/>
      <c r="C113" s="142">
        <v>10.0</v>
      </c>
      <c r="D113" s="28"/>
      <c r="E113" s="28"/>
      <c r="F113" s="44"/>
      <c r="G113" s="139"/>
      <c r="H113" s="142">
        <v>2.0</v>
      </c>
      <c r="I113" s="142">
        <v>12.0</v>
      </c>
      <c r="J113" s="142">
        <v>2.0</v>
      </c>
      <c r="K113" s="142">
        <v>2.0</v>
      </c>
      <c r="L113" s="44"/>
      <c r="M113" s="139"/>
      <c r="N113" s="142">
        <v>2.0</v>
      </c>
      <c r="O113" s="142">
        <v>15.0</v>
      </c>
      <c r="P113" s="142">
        <v>2.0</v>
      </c>
      <c r="Q113" s="142">
        <v>2.0</v>
      </c>
      <c r="R113" s="44"/>
      <c r="S113" s="120"/>
      <c r="T113" s="120"/>
      <c r="U113" s="120"/>
      <c r="V113" s="120"/>
      <c r="W113" s="120"/>
      <c r="X113" s="120"/>
      <c r="Y113" s="120"/>
      <c r="Z113" s="120"/>
    </row>
    <row r="114">
      <c r="A114" s="139"/>
      <c r="B114" s="47"/>
      <c r="C114" s="143">
        <v>1.0</v>
      </c>
      <c r="D114" s="47"/>
      <c r="E114" s="47"/>
      <c r="F114" s="41"/>
      <c r="G114" s="139"/>
      <c r="H114" s="47"/>
      <c r="I114" s="143">
        <v>3.0</v>
      </c>
      <c r="J114" s="47"/>
      <c r="K114" s="47"/>
      <c r="L114" s="41"/>
      <c r="M114" s="139"/>
      <c r="N114" s="143">
        <v>8.0</v>
      </c>
      <c r="O114" s="47"/>
      <c r="P114" s="47"/>
      <c r="Q114" s="47"/>
      <c r="R114" s="41"/>
      <c r="S114" s="120"/>
      <c r="T114" s="120"/>
      <c r="U114" s="120"/>
      <c r="V114" s="120"/>
      <c r="W114" s="120"/>
      <c r="X114" s="120"/>
      <c r="Y114" s="120"/>
      <c r="Z114" s="120"/>
    </row>
    <row r="115">
      <c r="A115" s="139"/>
      <c r="B115" s="142">
        <v>6.0</v>
      </c>
      <c r="C115" s="142">
        <v>3.0</v>
      </c>
      <c r="D115" s="28"/>
      <c r="E115" s="28"/>
      <c r="F115" s="44"/>
      <c r="G115" s="139"/>
      <c r="H115" s="142">
        <v>6.0</v>
      </c>
      <c r="I115" s="142">
        <v>5.0</v>
      </c>
      <c r="J115" s="28"/>
      <c r="K115" s="28"/>
      <c r="L115" s="44"/>
      <c r="M115" s="139"/>
      <c r="N115" s="142">
        <v>6.0</v>
      </c>
      <c r="O115" s="142">
        <v>7.0</v>
      </c>
      <c r="P115" s="28"/>
      <c r="Q115" s="28"/>
      <c r="R115" s="44"/>
      <c r="S115" s="120"/>
      <c r="T115" s="120"/>
      <c r="U115" s="120"/>
      <c r="V115" s="120"/>
      <c r="W115" s="120"/>
      <c r="X115" s="120"/>
      <c r="Y115" s="120"/>
      <c r="Z115" s="120"/>
    </row>
    <row r="116">
      <c r="A116" s="139"/>
      <c r="B116" s="143">
        <v>22.0</v>
      </c>
      <c r="C116" s="143">
        <v>22.0</v>
      </c>
      <c r="D116" s="143">
        <v>22.0</v>
      </c>
      <c r="E116" s="143">
        <v>22.0</v>
      </c>
      <c r="F116" s="41"/>
      <c r="G116" s="139"/>
      <c r="H116" s="143">
        <v>22.0</v>
      </c>
      <c r="I116" s="143">
        <v>22.0</v>
      </c>
      <c r="J116" s="143">
        <v>22.0</v>
      </c>
      <c r="K116" s="143">
        <v>22.0</v>
      </c>
      <c r="L116" s="41"/>
      <c r="M116" s="139"/>
      <c r="N116" s="143">
        <v>28.0</v>
      </c>
      <c r="O116" s="143">
        <v>28.0</v>
      </c>
      <c r="P116" s="143">
        <v>22.0</v>
      </c>
      <c r="Q116" s="143">
        <v>22.0</v>
      </c>
      <c r="R116" s="41"/>
      <c r="S116" s="120"/>
      <c r="T116" s="120"/>
      <c r="U116" s="120"/>
      <c r="V116" s="120"/>
      <c r="W116" s="120"/>
      <c r="X116" s="120"/>
      <c r="Y116" s="120"/>
      <c r="Z116" s="120"/>
    </row>
    <row r="117">
      <c r="A117" s="139"/>
      <c r="B117" s="142"/>
      <c r="C117" s="28"/>
      <c r="D117" s="28"/>
      <c r="E117" s="28"/>
      <c r="F117" s="44"/>
      <c r="G117" s="139"/>
      <c r="H117" s="142"/>
      <c r="I117" s="28"/>
      <c r="J117" s="28"/>
      <c r="K117" s="28"/>
      <c r="L117" s="44"/>
      <c r="M117" s="139"/>
      <c r="N117" s="142"/>
      <c r="O117" s="28"/>
      <c r="P117" s="28"/>
      <c r="Q117" s="28"/>
      <c r="R117" s="44"/>
      <c r="S117" s="120"/>
      <c r="T117" s="120"/>
      <c r="U117" s="120"/>
      <c r="V117" s="120"/>
      <c r="W117" s="120"/>
      <c r="X117" s="120"/>
      <c r="Y117" s="120"/>
      <c r="Z117" s="120"/>
    </row>
    <row r="118">
      <c r="A118" s="139"/>
      <c r="B118" s="143">
        <v>2.0</v>
      </c>
      <c r="C118" s="143">
        <v>2.0</v>
      </c>
      <c r="D118" s="143">
        <v>2.0</v>
      </c>
      <c r="E118" s="143">
        <v>2.0</v>
      </c>
      <c r="F118" s="41"/>
      <c r="G118" s="139"/>
      <c r="H118" s="143">
        <v>2.0</v>
      </c>
      <c r="I118" s="143">
        <v>2.0</v>
      </c>
      <c r="J118" s="143">
        <v>2.0</v>
      </c>
      <c r="K118" s="143">
        <v>2.0</v>
      </c>
      <c r="L118" s="41"/>
      <c r="M118" s="139"/>
      <c r="N118" s="143">
        <v>2.0</v>
      </c>
      <c r="O118" s="143">
        <v>2.0</v>
      </c>
      <c r="P118" s="143">
        <v>2.0</v>
      </c>
      <c r="Q118" s="143">
        <v>2.0</v>
      </c>
      <c r="R118" s="41"/>
      <c r="S118" s="120"/>
      <c r="T118" s="120"/>
      <c r="U118" s="120"/>
      <c r="V118" s="120"/>
      <c r="W118" s="120"/>
      <c r="X118" s="120"/>
      <c r="Y118" s="120"/>
      <c r="Z118" s="120"/>
    </row>
    <row r="119">
      <c r="A119" s="139"/>
      <c r="B119" s="142">
        <v>1.0</v>
      </c>
      <c r="C119" s="142">
        <v>1.0</v>
      </c>
      <c r="D119" s="142">
        <v>1.0</v>
      </c>
      <c r="E119" s="142">
        <v>1.0</v>
      </c>
      <c r="F119" s="44"/>
      <c r="G119" s="139"/>
      <c r="H119" s="142">
        <v>1.0</v>
      </c>
      <c r="I119" s="142">
        <v>1.0</v>
      </c>
      <c r="J119" s="142">
        <v>1.0</v>
      </c>
      <c r="K119" s="142">
        <v>1.0</v>
      </c>
      <c r="L119" s="44"/>
      <c r="M119" s="139"/>
      <c r="N119" s="142">
        <v>1.0</v>
      </c>
      <c r="O119" s="142">
        <v>1.0</v>
      </c>
      <c r="P119" s="142">
        <v>1.0</v>
      </c>
      <c r="Q119" s="142">
        <v>1.0</v>
      </c>
      <c r="R119" s="44"/>
      <c r="S119" s="120"/>
      <c r="T119" s="120"/>
      <c r="U119" s="120"/>
      <c r="V119" s="120"/>
      <c r="W119" s="120"/>
      <c r="X119" s="120"/>
      <c r="Y119" s="120"/>
      <c r="Z119" s="120"/>
    </row>
    <row r="120">
      <c r="A120" s="139"/>
      <c r="B120" s="143">
        <v>1.0</v>
      </c>
      <c r="C120" s="143">
        <v>1.0</v>
      </c>
      <c r="D120" s="143">
        <v>1.0</v>
      </c>
      <c r="E120" s="143">
        <v>1.0</v>
      </c>
      <c r="F120" s="41"/>
      <c r="G120" s="139"/>
      <c r="H120" s="143">
        <v>1.0</v>
      </c>
      <c r="I120" s="143">
        <v>1.0</v>
      </c>
      <c r="J120" s="143">
        <v>1.0</v>
      </c>
      <c r="K120" s="143">
        <v>1.0</v>
      </c>
      <c r="L120" s="41"/>
      <c r="M120" s="139"/>
      <c r="N120" s="143">
        <v>1.0</v>
      </c>
      <c r="O120" s="143">
        <v>1.0</v>
      </c>
      <c r="P120" s="143">
        <v>1.0</v>
      </c>
      <c r="Q120" s="143">
        <v>1.0</v>
      </c>
      <c r="R120" s="41"/>
      <c r="S120" s="120"/>
      <c r="T120" s="120"/>
      <c r="U120" s="120"/>
      <c r="V120" s="120"/>
      <c r="W120" s="120"/>
      <c r="X120" s="120"/>
      <c r="Y120" s="120"/>
      <c r="Z120" s="120"/>
    </row>
    <row r="121">
      <c r="A121" s="139"/>
      <c r="B121" s="142">
        <v>3.0</v>
      </c>
      <c r="C121" s="142">
        <v>3.0</v>
      </c>
      <c r="D121" s="142">
        <v>3.0</v>
      </c>
      <c r="E121" s="142">
        <v>3.0</v>
      </c>
      <c r="F121" s="63">
        <v>1.0</v>
      </c>
      <c r="G121" s="139"/>
      <c r="H121" s="142">
        <v>3.0</v>
      </c>
      <c r="I121" s="142">
        <v>3.0</v>
      </c>
      <c r="J121" s="142">
        <v>3.0</v>
      </c>
      <c r="K121" s="142">
        <v>3.0</v>
      </c>
      <c r="L121" s="63">
        <v>1.0</v>
      </c>
      <c r="M121" s="139"/>
      <c r="N121" s="142">
        <v>3.0</v>
      </c>
      <c r="O121" s="142">
        <v>3.0</v>
      </c>
      <c r="P121" s="142">
        <v>3.0</v>
      </c>
      <c r="Q121" s="142">
        <v>3.0</v>
      </c>
      <c r="R121" s="63">
        <v>1.0</v>
      </c>
      <c r="S121" s="120"/>
      <c r="T121" s="120"/>
      <c r="U121" s="120"/>
      <c r="V121" s="120"/>
      <c r="W121" s="120"/>
      <c r="X121" s="120"/>
      <c r="Y121" s="120"/>
      <c r="Z121" s="120"/>
    </row>
    <row r="122">
      <c r="A122" s="139"/>
      <c r="B122" s="143">
        <v>3.0</v>
      </c>
      <c r="C122" s="143">
        <v>3.0</v>
      </c>
      <c r="D122" s="143">
        <v>3.0</v>
      </c>
      <c r="E122" s="143">
        <v>3.0</v>
      </c>
      <c r="F122" s="41"/>
      <c r="G122" s="139"/>
      <c r="H122" s="143">
        <v>3.0</v>
      </c>
      <c r="I122" s="143">
        <v>3.0</v>
      </c>
      <c r="J122" s="143">
        <v>3.0</v>
      </c>
      <c r="K122" s="143">
        <v>3.0</v>
      </c>
      <c r="L122" s="41"/>
      <c r="M122" s="139"/>
      <c r="N122" s="143">
        <v>3.0</v>
      </c>
      <c r="O122" s="143">
        <v>3.0</v>
      </c>
      <c r="P122" s="143">
        <v>3.0</v>
      </c>
      <c r="Q122" s="143">
        <v>3.0</v>
      </c>
      <c r="R122" s="41"/>
      <c r="S122" s="120"/>
      <c r="T122" s="120"/>
      <c r="U122" s="120"/>
      <c r="V122" s="120"/>
      <c r="W122" s="120"/>
      <c r="X122" s="120"/>
      <c r="Y122" s="120"/>
      <c r="Z122" s="120"/>
    </row>
    <row r="123">
      <c r="A123" s="139"/>
      <c r="B123" s="142"/>
      <c r="C123" s="28"/>
      <c r="D123" s="28"/>
      <c r="E123" s="28"/>
      <c r="F123" s="44"/>
      <c r="G123" s="139"/>
      <c r="H123" s="142"/>
      <c r="I123" s="28"/>
      <c r="J123" s="28"/>
      <c r="K123" s="28"/>
      <c r="L123" s="44"/>
      <c r="M123" s="139"/>
      <c r="N123" s="142"/>
      <c r="O123" s="28"/>
      <c r="P123" s="28"/>
      <c r="Q123" s="28"/>
      <c r="R123" s="44"/>
      <c r="S123" s="120"/>
      <c r="T123" s="120"/>
      <c r="U123" s="120"/>
      <c r="V123" s="120"/>
      <c r="W123" s="120"/>
      <c r="X123" s="120"/>
      <c r="Y123" s="120"/>
      <c r="Z123" s="120"/>
    </row>
    <row r="124">
      <c r="A124" s="139"/>
      <c r="B124" s="140">
        <v>23.0</v>
      </c>
      <c r="C124" s="140">
        <v>799.0</v>
      </c>
      <c r="D124" s="140">
        <v>4.0</v>
      </c>
      <c r="E124" s="140">
        <v>4.0</v>
      </c>
      <c r="F124" s="34"/>
      <c r="G124" s="139"/>
      <c r="H124" s="140">
        <v>21.0</v>
      </c>
      <c r="I124" s="140">
        <v>876.0</v>
      </c>
      <c r="J124" s="140">
        <v>4.0</v>
      </c>
      <c r="K124" s="140">
        <v>4.0</v>
      </c>
      <c r="L124" s="34"/>
      <c r="M124" s="139"/>
      <c r="N124" s="140">
        <v>9.0</v>
      </c>
      <c r="O124" s="140">
        <v>933.0</v>
      </c>
      <c r="P124" s="140">
        <v>4.0</v>
      </c>
      <c r="Q124" s="140">
        <v>4.0</v>
      </c>
      <c r="R124" s="34"/>
      <c r="S124" s="120"/>
      <c r="T124" s="120"/>
      <c r="U124" s="120"/>
      <c r="V124" s="120"/>
      <c r="W124" s="120"/>
      <c r="X124" s="120"/>
      <c r="Y124" s="120"/>
      <c r="Z124" s="120"/>
    </row>
    <row r="125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>
      <c r="A126" s="120"/>
      <c r="B126" s="138" t="s">
        <v>237</v>
      </c>
      <c r="C126" s="138"/>
      <c r="D126" s="138"/>
      <c r="E126" s="138"/>
      <c r="F126" s="138"/>
      <c r="G126" s="120"/>
      <c r="H126" s="138" t="s">
        <v>238</v>
      </c>
      <c r="I126" s="138"/>
      <c r="J126" s="138"/>
      <c r="K126" s="138"/>
      <c r="L126" s="138"/>
      <c r="M126" s="120"/>
      <c r="N126" s="138" t="s">
        <v>239</v>
      </c>
      <c r="O126" s="138"/>
      <c r="P126" s="138"/>
      <c r="Q126" s="138"/>
      <c r="R126" s="138"/>
      <c r="S126" s="120"/>
      <c r="T126" s="120"/>
      <c r="U126" s="120"/>
      <c r="V126" s="120"/>
      <c r="W126" s="120"/>
      <c r="X126" s="120"/>
      <c r="Y126" s="120"/>
      <c r="Z126" s="120"/>
    </row>
    <row r="127">
      <c r="A127" s="139" t="s">
        <v>158</v>
      </c>
      <c r="B127" s="33"/>
      <c r="C127" s="140">
        <v>3.0</v>
      </c>
      <c r="D127" s="33"/>
      <c r="E127" s="33"/>
      <c r="F127" s="141">
        <v>128.0</v>
      </c>
      <c r="G127" s="139"/>
      <c r="H127" s="33"/>
      <c r="I127" s="140">
        <v>5.0</v>
      </c>
      <c r="J127" s="33"/>
      <c r="K127" s="33"/>
      <c r="L127" s="141">
        <v>138.0</v>
      </c>
      <c r="M127" s="139"/>
      <c r="N127" s="33"/>
      <c r="O127" s="140">
        <v>7.0</v>
      </c>
      <c r="P127" s="33"/>
      <c r="Q127" s="33"/>
      <c r="R127" s="141">
        <v>148.0</v>
      </c>
      <c r="S127" s="120"/>
      <c r="T127" s="120"/>
      <c r="U127" s="120"/>
      <c r="V127" s="120"/>
      <c r="W127" s="120"/>
      <c r="X127" s="120"/>
      <c r="Y127" s="120"/>
      <c r="Z127" s="120"/>
    </row>
    <row r="128">
      <c r="A128" s="139"/>
      <c r="B128" s="28"/>
      <c r="C128" s="28"/>
      <c r="D128" s="28"/>
      <c r="E128" s="28"/>
      <c r="F128" s="44"/>
      <c r="G128" s="139"/>
      <c r="H128" s="28"/>
      <c r="I128" s="28"/>
      <c r="J128" s="28"/>
      <c r="K128" s="28"/>
      <c r="L128" s="44"/>
      <c r="M128" s="139"/>
      <c r="N128" s="28"/>
      <c r="O128" s="28"/>
      <c r="P128" s="28"/>
      <c r="Q128" s="28"/>
      <c r="R128" s="44"/>
      <c r="S128" s="120"/>
      <c r="T128" s="120"/>
      <c r="U128" s="120"/>
      <c r="V128" s="120"/>
      <c r="W128" s="120"/>
      <c r="X128" s="120"/>
      <c r="Y128" s="120"/>
      <c r="Z128" s="120"/>
    </row>
    <row r="129">
      <c r="A129" s="139"/>
      <c r="B129" s="33"/>
      <c r="C129" s="33"/>
      <c r="D129" s="33"/>
      <c r="E129" s="33"/>
      <c r="F129" s="34"/>
      <c r="G129" s="139"/>
      <c r="H129" s="33"/>
      <c r="I129" s="33"/>
      <c r="J129" s="33"/>
      <c r="K129" s="33"/>
      <c r="L129" s="34"/>
      <c r="M129" s="139"/>
      <c r="N129" s="33"/>
      <c r="O129" s="33"/>
      <c r="P129" s="33"/>
      <c r="Q129" s="33"/>
      <c r="R129" s="34"/>
      <c r="S129" s="120"/>
      <c r="T129" s="120"/>
      <c r="U129" s="120"/>
      <c r="V129" s="120"/>
      <c r="W129" s="120"/>
      <c r="X129" s="120"/>
      <c r="Y129" s="120"/>
      <c r="Z129" s="120"/>
    </row>
    <row r="130">
      <c r="A130" s="139"/>
      <c r="B130" s="142">
        <v>17.0</v>
      </c>
      <c r="C130" s="142">
        <v>29.0</v>
      </c>
      <c r="D130" s="142">
        <v>15.0</v>
      </c>
      <c r="E130" s="142">
        <v>15.0</v>
      </c>
      <c r="F130" s="44"/>
      <c r="G130" s="139"/>
      <c r="H130" s="142">
        <v>17.0</v>
      </c>
      <c r="I130" s="142">
        <v>38.0</v>
      </c>
      <c r="J130" s="142">
        <v>15.0</v>
      </c>
      <c r="K130" s="142">
        <v>15.0</v>
      </c>
      <c r="L130" s="44"/>
      <c r="M130" s="139"/>
      <c r="N130" s="142">
        <v>17.0</v>
      </c>
      <c r="O130" s="142">
        <v>47.0</v>
      </c>
      <c r="P130" s="142">
        <v>15.0</v>
      </c>
      <c r="Q130" s="142">
        <v>15.0</v>
      </c>
      <c r="R130" s="44"/>
      <c r="S130" s="120"/>
      <c r="T130" s="120"/>
      <c r="U130" s="120"/>
      <c r="V130" s="120"/>
      <c r="W130" s="120"/>
      <c r="X130" s="120"/>
      <c r="Y130" s="120"/>
      <c r="Z130" s="120"/>
    </row>
    <row r="131">
      <c r="A131" s="139"/>
      <c r="B131" s="143">
        <v>30.0</v>
      </c>
      <c r="C131" s="143">
        <v>12.0</v>
      </c>
      <c r="D131" s="47"/>
      <c r="E131" s="47"/>
      <c r="F131" s="41"/>
      <c r="G131" s="139"/>
      <c r="H131" s="143">
        <v>30.0</v>
      </c>
      <c r="I131" s="143">
        <v>27.0</v>
      </c>
      <c r="J131" s="47"/>
      <c r="K131" s="47"/>
      <c r="L131" s="41"/>
      <c r="M131" s="139"/>
      <c r="N131" s="143">
        <v>30.0</v>
      </c>
      <c r="O131" s="143">
        <v>42.0</v>
      </c>
      <c r="P131" s="47"/>
      <c r="Q131" s="47"/>
      <c r="R131" s="41"/>
      <c r="S131" s="120"/>
      <c r="T131" s="120"/>
      <c r="U131" s="120"/>
      <c r="V131" s="120"/>
      <c r="W131" s="120"/>
      <c r="X131" s="120"/>
      <c r="Y131" s="120"/>
      <c r="Z131" s="120"/>
    </row>
    <row r="132">
      <c r="A132" s="139"/>
      <c r="B132" s="142"/>
      <c r="C132" s="28"/>
      <c r="D132" s="28"/>
      <c r="E132" s="28"/>
      <c r="F132" s="44"/>
      <c r="G132" s="139"/>
      <c r="H132" s="142"/>
      <c r="I132" s="28"/>
      <c r="J132" s="28"/>
      <c r="K132" s="28"/>
      <c r="L132" s="44"/>
      <c r="M132" s="139"/>
      <c r="N132" s="142"/>
      <c r="O132" s="28"/>
      <c r="P132" s="28"/>
      <c r="Q132" s="28"/>
      <c r="R132" s="44"/>
      <c r="S132" s="120"/>
      <c r="T132" s="120"/>
      <c r="U132" s="120"/>
      <c r="V132" s="120"/>
      <c r="W132" s="120"/>
      <c r="X132" s="120"/>
      <c r="Y132" s="120"/>
      <c r="Z132" s="120"/>
    </row>
    <row r="133">
      <c r="A133" s="139"/>
      <c r="B133" s="47"/>
      <c r="C133" s="47"/>
      <c r="D133" s="47"/>
      <c r="E133" s="47"/>
      <c r="F133" s="144">
        <v>11.0</v>
      </c>
      <c r="G133" s="139"/>
      <c r="H133" s="47"/>
      <c r="I133" s="47"/>
      <c r="J133" s="47"/>
      <c r="K133" s="47"/>
      <c r="L133" s="144">
        <v>15.0</v>
      </c>
      <c r="M133" s="139"/>
      <c r="N133" s="47"/>
      <c r="O133" s="47"/>
      <c r="P133" s="47"/>
      <c r="Q133" s="47"/>
      <c r="R133" s="144">
        <v>19.0</v>
      </c>
      <c r="S133" s="120"/>
      <c r="T133" s="120"/>
      <c r="U133" s="120"/>
      <c r="V133" s="120"/>
      <c r="W133" s="120"/>
      <c r="X133" s="120"/>
      <c r="Y133" s="120"/>
      <c r="Z133" s="120"/>
    </row>
    <row r="134">
      <c r="A134" s="139"/>
      <c r="B134" s="28"/>
      <c r="C134" s="28"/>
      <c r="D134" s="28"/>
      <c r="E134" s="28"/>
      <c r="F134" s="63">
        <v>9.0</v>
      </c>
      <c r="G134" s="139"/>
      <c r="H134" s="28"/>
      <c r="I134" s="28"/>
      <c r="J134" s="28"/>
      <c r="K134" s="28"/>
      <c r="L134" s="63">
        <v>13.0</v>
      </c>
      <c r="M134" s="139"/>
      <c r="N134" s="28"/>
      <c r="O134" s="28"/>
      <c r="P134" s="28"/>
      <c r="Q134" s="28"/>
      <c r="R134" s="63">
        <v>17.0</v>
      </c>
      <c r="S134" s="120"/>
      <c r="T134" s="120"/>
      <c r="U134" s="120"/>
      <c r="V134" s="120"/>
      <c r="W134" s="120"/>
      <c r="X134" s="120"/>
      <c r="Y134" s="120"/>
      <c r="Z134" s="120"/>
    </row>
    <row r="135">
      <c r="A135" s="139"/>
      <c r="B135" s="47"/>
      <c r="C135" s="47"/>
      <c r="D135" s="47"/>
      <c r="E135" s="47"/>
      <c r="F135" s="144">
        <v>15.0</v>
      </c>
      <c r="G135" s="139"/>
      <c r="H135" s="47"/>
      <c r="I135" s="47"/>
      <c r="J135" s="47"/>
      <c r="K135" s="47"/>
      <c r="L135" s="144">
        <v>17.0</v>
      </c>
      <c r="M135" s="139"/>
      <c r="N135" s="47"/>
      <c r="O135" s="47"/>
      <c r="P135" s="47"/>
      <c r="Q135" s="47"/>
      <c r="R135" s="144">
        <v>22.0</v>
      </c>
      <c r="S135" s="120"/>
      <c r="T135" s="120"/>
      <c r="U135" s="120"/>
      <c r="V135" s="120"/>
      <c r="W135" s="120"/>
      <c r="X135" s="120"/>
      <c r="Y135" s="120"/>
      <c r="Z135" s="120"/>
    </row>
    <row r="136">
      <c r="A136" s="139"/>
      <c r="B136" s="142"/>
      <c r="C136" s="28"/>
      <c r="D136" s="28"/>
      <c r="E136" s="28"/>
      <c r="F136" s="44"/>
      <c r="G136" s="139"/>
      <c r="H136" s="142"/>
      <c r="I136" s="28"/>
      <c r="J136" s="28"/>
      <c r="K136" s="28"/>
      <c r="L136" s="44"/>
      <c r="M136" s="139"/>
      <c r="N136" s="142"/>
      <c r="O136" s="28"/>
      <c r="P136" s="28"/>
      <c r="Q136" s="28"/>
      <c r="R136" s="44"/>
      <c r="S136" s="120"/>
      <c r="T136" s="120"/>
      <c r="U136" s="120"/>
      <c r="V136" s="120"/>
      <c r="W136" s="120"/>
      <c r="X136" s="120"/>
      <c r="Y136" s="120"/>
      <c r="Z136" s="120"/>
    </row>
    <row r="137">
      <c r="A137" s="139"/>
      <c r="B137" s="33"/>
      <c r="C137" s="33"/>
      <c r="D137" s="33"/>
      <c r="E137" s="33"/>
      <c r="F137" s="34"/>
      <c r="G137" s="139"/>
      <c r="H137" s="33"/>
      <c r="I137" s="33"/>
      <c r="J137" s="33"/>
      <c r="K137" s="33"/>
      <c r="L137" s="34"/>
      <c r="M137" s="139"/>
      <c r="N137" s="33"/>
      <c r="O137" s="33"/>
      <c r="P137" s="33"/>
      <c r="Q137" s="33"/>
      <c r="R137" s="34"/>
      <c r="S137" s="120"/>
      <c r="T137" s="120"/>
      <c r="U137" s="120"/>
      <c r="V137" s="120"/>
      <c r="W137" s="120"/>
      <c r="X137" s="120"/>
      <c r="Y137" s="120"/>
      <c r="Z137" s="120"/>
    </row>
    <row r="138">
      <c r="A138" s="139"/>
      <c r="B138" s="142"/>
      <c r="C138" s="142">
        <v>10.0</v>
      </c>
      <c r="D138" s="28"/>
      <c r="E138" s="28"/>
      <c r="F138" s="44"/>
      <c r="G138" s="139"/>
      <c r="H138" s="142">
        <v>2.0</v>
      </c>
      <c r="I138" s="142">
        <v>12.0</v>
      </c>
      <c r="J138" s="142">
        <v>2.0</v>
      </c>
      <c r="K138" s="142">
        <v>2.0</v>
      </c>
      <c r="L138" s="44"/>
      <c r="M138" s="139"/>
      <c r="N138" s="142">
        <v>2.0</v>
      </c>
      <c r="O138" s="142">
        <v>15.0</v>
      </c>
      <c r="P138" s="142">
        <v>2.0</v>
      </c>
      <c r="Q138" s="142">
        <v>2.0</v>
      </c>
      <c r="R138" s="44"/>
      <c r="S138" s="120"/>
      <c r="T138" s="120"/>
      <c r="U138" s="120"/>
      <c r="V138" s="120"/>
      <c r="W138" s="120"/>
      <c r="X138" s="120"/>
      <c r="Y138" s="120"/>
      <c r="Z138" s="120"/>
    </row>
    <row r="139">
      <c r="A139" s="139"/>
      <c r="B139" s="47"/>
      <c r="C139" s="143">
        <v>1.0</v>
      </c>
      <c r="D139" s="47"/>
      <c r="E139" s="47"/>
      <c r="F139" s="41"/>
      <c r="G139" s="139"/>
      <c r="H139" s="47"/>
      <c r="I139" s="143">
        <v>3.0</v>
      </c>
      <c r="J139" s="47"/>
      <c r="K139" s="47"/>
      <c r="L139" s="41"/>
      <c r="M139" s="139"/>
      <c r="N139" s="143">
        <v>8.0</v>
      </c>
      <c r="O139" s="47"/>
      <c r="P139" s="47"/>
      <c r="Q139" s="47"/>
      <c r="R139" s="41"/>
      <c r="S139" s="120"/>
      <c r="T139" s="120"/>
      <c r="U139" s="120"/>
      <c r="V139" s="120"/>
      <c r="W139" s="120"/>
      <c r="X139" s="120"/>
      <c r="Y139" s="120"/>
      <c r="Z139" s="120"/>
    </row>
    <row r="140">
      <c r="A140" s="139"/>
      <c r="B140" s="142">
        <v>6.0</v>
      </c>
      <c r="C140" s="142">
        <v>3.0</v>
      </c>
      <c r="D140" s="28"/>
      <c r="E140" s="28"/>
      <c r="F140" s="44"/>
      <c r="G140" s="139"/>
      <c r="H140" s="142">
        <v>6.0</v>
      </c>
      <c r="I140" s="142">
        <v>5.0</v>
      </c>
      <c r="J140" s="28"/>
      <c r="K140" s="28"/>
      <c r="L140" s="44"/>
      <c r="M140" s="139"/>
      <c r="N140" s="142">
        <v>6.0</v>
      </c>
      <c r="O140" s="142">
        <v>7.0</v>
      </c>
      <c r="P140" s="28"/>
      <c r="Q140" s="28"/>
      <c r="R140" s="44"/>
      <c r="S140" s="120"/>
      <c r="T140" s="120"/>
      <c r="U140" s="120"/>
      <c r="V140" s="120"/>
      <c r="W140" s="120"/>
      <c r="X140" s="120"/>
      <c r="Y140" s="120"/>
      <c r="Z140" s="120"/>
    </row>
    <row r="141">
      <c r="A141" s="139"/>
      <c r="B141" s="143">
        <v>22.0</v>
      </c>
      <c r="C141" s="143">
        <v>22.0</v>
      </c>
      <c r="D141" s="143">
        <v>22.0</v>
      </c>
      <c r="E141" s="143">
        <v>22.0</v>
      </c>
      <c r="F141" s="41"/>
      <c r="G141" s="139"/>
      <c r="H141" s="143">
        <v>22.0</v>
      </c>
      <c r="I141" s="143">
        <v>22.0</v>
      </c>
      <c r="J141" s="143">
        <v>22.0</v>
      </c>
      <c r="K141" s="143">
        <v>22.0</v>
      </c>
      <c r="L141" s="41"/>
      <c r="M141" s="139"/>
      <c r="N141" s="143">
        <v>28.0</v>
      </c>
      <c r="O141" s="143">
        <v>28.0</v>
      </c>
      <c r="P141" s="143">
        <v>22.0</v>
      </c>
      <c r="Q141" s="143">
        <v>22.0</v>
      </c>
      <c r="R141" s="41"/>
      <c r="S141" s="120"/>
      <c r="T141" s="120"/>
      <c r="U141" s="120"/>
      <c r="V141" s="120"/>
      <c r="W141" s="120"/>
      <c r="X141" s="120"/>
      <c r="Y141" s="120"/>
      <c r="Z141" s="120"/>
    </row>
    <row r="142">
      <c r="A142" s="139"/>
      <c r="B142" s="142"/>
      <c r="C142" s="28"/>
      <c r="D142" s="28"/>
      <c r="E142" s="28"/>
      <c r="F142" s="44"/>
      <c r="G142" s="139"/>
      <c r="H142" s="142"/>
      <c r="I142" s="28"/>
      <c r="J142" s="28"/>
      <c r="K142" s="28"/>
      <c r="L142" s="44"/>
      <c r="M142" s="139"/>
      <c r="N142" s="142"/>
      <c r="O142" s="28"/>
      <c r="P142" s="28"/>
      <c r="Q142" s="28"/>
      <c r="R142" s="44"/>
      <c r="S142" s="120"/>
      <c r="T142" s="120"/>
      <c r="U142" s="120"/>
      <c r="V142" s="120"/>
      <c r="W142" s="120"/>
      <c r="X142" s="120"/>
      <c r="Y142" s="120"/>
      <c r="Z142" s="120"/>
    </row>
    <row r="143">
      <c r="A143" s="139"/>
      <c r="B143" s="143">
        <v>2.0</v>
      </c>
      <c r="C143" s="143">
        <v>2.0</v>
      </c>
      <c r="D143" s="143">
        <v>2.0</v>
      </c>
      <c r="E143" s="143">
        <v>2.0</v>
      </c>
      <c r="F143" s="41"/>
      <c r="G143" s="139"/>
      <c r="H143" s="143">
        <v>2.0</v>
      </c>
      <c r="I143" s="143">
        <v>2.0</v>
      </c>
      <c r="J143" s="143">
        <v>2.0</v>
      </c>
      <c r="K143" s="143">
        <v>2.0</v>
      </c>
      <c r="L143" s="41"/>
      <c r="M143" s="139"/>
      <c r="N143" s="143">
        <v>2.0</v>
      </c>
      <c r="O143" s="143">
        <v>2.0</v>
      </c>
      <c r="P143" s="143">
        <v>2.0</v>
      </c>
      <c r="Q143" s="143">
        <v>2.0</v>
      </c>
      <c r="R143" s="41"/>
      <c r="S143" s="120"/>
      <c r="T143" s="120"/>
      <c r="U143" s="120"/>
      <c r="V143" s="120"/>
      <c r="W143" s="120"/>
      <c r="X143" s="120"/>
      <c r="Y143" s="120"/>
      <c r="Z143" s="120"/>
    </row>
    <row r="144">
      <c r="A144" s="139"/>
      <c r="B144" s="142">
        <v>1.0</v>
      </c>
      <c r="C144" s="142">
        <v>1.0</v>
      </c>
      <c r="D144" s="142">
        <v>1.0</v>
      </c>
      <c r="E144" s="142">
        <v>1.0</v>
      </c>
      <c r="F144" s="44"/>
      <c r="G144" s="139"/>
      <c r="H144" s="142">
        <v>1.0</v>
      </c>
      <c r="I144" s="142">
        <v>1.0</v>
      </c>
      <c r="J144" s="142">
        <v>1.0</v>
      </c>
      <c r="K144" s="142">
        <v>1.0</v>
      </c>
      <c r="L144" s="44"/>
      <c r="M144" s="139"/>
      <c r="N144" s="142">
        <v>1.0</v>
      </c>
      <c r="O144" s="142">
        <v>1.0</v>
      </c>
      <c r="P144" s="142">
        <v>1.0</v>
      </c>
      <c r="Q144" s="142">
        <v>1.0</v>
      </c>
      <c r="R144" s="44"/>
      <c r="S144" s="120"/>
      <c r="T144" s="120"/>
      <c r="U144" s="120"/>
      <c r="V144" s="120"/>
      <c r="W144" s="120"/>
      <c r="X144" s="120"/>
      <c r="Y144" s="120"/>
      <c r="Z144" s="120"/>
    </row>
    <row r="145">
      <c r="A145" s="139"/>
      <c r="B145" s="143">
        <v>1.0</v>
      </c>
      <c r="C145" s="143">
        <v>1.0</v>
      </c>
      <c r="D145" s="143">
        <v>1.0</v>
      </c>
      <c r="E145" s="143">
        <v>1.0</v>
      </c>
      <c r="F145" s="41"/>
      <c r="G145" s="139"/>
      <c r="H145" s="143">
        <v>1.0</v>
      </c>
      <c r="I145" s="143">
        <v>1.0</v>
      </c>
      <c r="J145" s="143">
        <v>1.0</v>
      </c>
      <c r="K145" s="143">
        <v>1.0</v>
      </c>
      <c r="L145" s="41"/>
      <c r="M145" s="139"/>
      <c r="N145" s="143">
        <v>1.0</v>
      </c>
      <c r="O145" s="143">
        <v>1.0</v>
      </c>
      <c r="P145" s="143">
        <v>1.0</v>
      </c>
      <c r="Q145" s="143">
        <v>1.0</v>
      </c>
      <c r="R145" s="41"/>
      <c r="S145" s="120"/>
      <c r="T145" s="120"/>
      <c r="U145" s="120"/>
      <c r="V145" s="120"/>
      <c r="W145" s="120"/>
      <c r="X145" s="120"/>
      <c r="Y145" s="120"/>
      <c r="Z145" s="120"/>
    </row>
    <row r="146">
      <c r="A146" s="139"/>
      <c r="B146" s="142">
        <v>3.0</v>
      </c>
      <c r="C146" s="142">
        <v>3.0</v>
      </c>
      <c r="D146" s="142">
        <v>3.0</v>
      </c>
      <c r="E146" s="142">
        <v>3.0</v>
      </c>
      <c r="F146" s="63">
        <v>1.0</v>
      </c>
      <c r="G146" s="139"/>
      <c r="H146" s="142">
        <v>3.0</v>
      </c>
      <c r="I146" s="142">
        <v>3.0</v>
      </c>
      <c r="J146" s="142">
        <v>3.0</v>
      </c>
      <c r="K146" s="142">
        <v>3.0</v>
      </c>
      <c r="L146" s="63">
        <v>1.0</v>
      </c>
      <c r="M146" s="139"/>
      <c r="N146" s="142">
        <v>3.0</v>
      </c>
      <c r="O146" s="142">
        <v>3.0</v>
      </c>
      <c r="P146" s="142">
        <v>3.0</v>
      </c>
      <c r="Q146" s="142">
        <v>3.0</v>
      </c>
      <c r="R146" s="63">
        <v>1.0</v>
      </c>
      <c r="S146" s="120"/>
      <c r="T146" s="120"/>
      <c r="U146" s="120"/>
      <c r="V146" s="120"/>
      <c r="W146" s="120"/>
      <c r="X146" s="120"/>
      <c r="Y146" s="120"/>
      <c r="Z146" s="120"/>
    </row>
    <row r="147">
      <c r="A147" s="139"/>
      <c r="B147" s="143">
        <v>3.0</v>
      </c>
      <c r="C147" s="143">
        <v>3.0</v>
      </c>
      <c r="D147" s="143">
        <v>3.0</v>
      </c>
      <c r="E147" s="143">
        <v>3.0</v>
      </c>
      <c r="F147" s="41"/>
      <c r="G147" s="139"/>
      <c r="H147" s="143">
        <v>3.0</v>
      </c>
      <c r="I147" s="143">
        <v>3.0</v>
      </c>
      <c r="J147" s="143">
        <v>3.0</v>
      </c>
      <c r="K147" s="143">
        <v>3.0</v>
      </c>
      <c r="L147" s="41"/>
      <c r="M147" s="139"/>
      <c r="N147" s="143">
        <v>3.0</v>
      </c>
      <c r="O147" s="143">
        <v>3.0</v>
      </c>
      <c r="P147" s="143">
        <v>3.0</v>
      </c>
      <c r="Q147" s="143">
        <v>3.0</v>
      </c>
      <c r="R147" s="41"/>
      <c r="S147" s="120"/>
      <c r="T147" s="120"/>
      <c r="U147" s="120"/>
      <c r="V147" s="120"/>
      <c r="W147" s="120"/>
      <c r="X147" s="120"/>
      <c r="Y147" s="120"/>
      <c r="Z147" s="120"/>
    </row>
    <row r="148">
      <c r="A148" s="139"/>
      <c r="B148" s="142"/>
      <c r="C148" s="28"/>
      <c r="D148" s="28"/>
      <c r="E148" s="28"/>
      <c r="F148" s="44"/>
      <c r="G148" s="139"/>
      <c r="H148" s="142"/>
      <c r="I148" s="28"/>
      <c r="J148" s="28"/>
      <c r="K148" s="28"/>
      <c r="L148" s="44"/>
      <c r="M148" s="139"/>
      <c r="N148" s="142"/>
      <c r="O148" s="28"/>
      <c r="P148" s="28"/>
      <c r="Q148" s="28"/>
      <c r="R148" s="44"/>
      <c r="S148" s="120"/>
      <c r="T148" s="120"/>
      <c r="U148" s="120"/>
      <c r="V148" s="120"/>
      <c r="W148" s="120"/>
      <c r="X148" s="120"/>
      <c r="Y148" s="120"/>
      <c r="Z148" s="120"/>
    </row>
    <row r="149">
      <c r="A149" s="139"/>
      <c r="B149" s="140">
        <v>23.0</v>
      </c>
      <c r="C149" s="140">
        <v>799.0</v>
      </c>
      <c r="D149" s="140">
        <v>4.0</v>
      </c>
      <c r="E149" s="140">
        <v>4.0</v>
      </c>
      <c r="F149" s="34"/>
      <c r="G149" s="139"/>
      <c r="H149" s="140">
        <v>21.0</v>
      </c>
      <c r="I149" s="140">
        <v>876.0</v>
      </c>
      <c r="J149" s="140">
        <v>4.0</v>
      </c>
      <c r="K149" s="140">
        <v>4.0</v>
      </c>
      <c r="L149" s="34"/>
      <c r="M149" s="139"/>
      <c r="N149" s="140">
        <v>9.0</v>
      </c>
      <c r="O149" s="140">
        <v>933.0</v>
      </c>
      <c r="P149" s="140">
        <v>4.0</v>
      </c>
      <c r="Q149" s="140">
        <v>4.0</v>
      </c>
      <c r="R149" s="34"/>
      <c r="S149" s="120"/>
      <c r="T149" s="120"/>
      <c r="U149" s="120"/>
      <c r="V149" s="120"/>
      <c r="W149" s="120"/>
      <c r="X149" s="120"/>
      <c r="Y149" s="120"/>
      <c r="Z149" s="120"/>
    </row>
    <row r="150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>
      <c r="A151" s="120"/>
      <c r="B151" s="138" t="s">
        <v>237</v>
      </c>
      <c r="C151" s="138"/>
      <c r="D151" s="138"/>
      <c r="E151" s="138"/>
      <c r="F151" s="138"/>
      <c r="G151" s="120"/>
      <c r="H151" s="138" t="s">
        <v>238</v>
      </c>
      <c r="I151" s="138"/>
      <c r="J151" s="138"/>
      <c r="K151" s="138"/>
      <c r="L151" s="138"/>
      <c r="M151" s="120"/>
      <c r="N151" s="138" t="s">
        <v>239</v>
      </c>
      <c r="O151" s="138"/>
      <c r="P151" s="138"/>
      <c r="Q151" s="138"/>
      <c r="R151" s="138"/>
      <c r="S151" s="120"/>
      <c r="T151" s="120"/>
      <c r="U151" s="120"/>
      <c r="V151" s="120"/>
      <c r="W151" s="120"/>
      <c r="X151" s="120"/>
      <c r="Y151" s="120"/>
      <c r="Z151" s="120"/>
    </row>
    <row r="152">
      <c r="A152" s="139" t="s">
        <v>161</v>
      </c>
      <c r="B152" s="140">
        <v>9.0</v>
      </c>
      <c r="C152" s="33"/>
      <c r="D152" s="33"/>
      <c r="E152" s="33"/>
      <c r="F152" s="141">
        <v>103.0</v>
      </c>
      <c r="G152" s="139"/>
      <c r="H152" s="140">
        <v>15.0</v>
      </c>
      <c r="I152" s="33"/>
      <c r="J152" s="33"/>
      <c r="K152" s="33"/>
      <c r="L152" s="141">
        <v>113.0</v>
      </c>
      <c r="M152" s="139"/>
      <c r="N152" s="140">
        <v>21.0</v>
      </c>
      <c r="O152" s="33"/>
      <c r="P152" s="33"/>
      <c r="Q152" s="33"/>
      <c r="R152" s="141">
        <v>123.0</v>
      </c>
      <c r="S152" s="120"/>
      <c r="T152" s="120"/>
      <c r="U152" s="120"/>
      <c r="V152" s="120"/>
      <c r="W152" s="120"/>
      <c r="X152" s="120"/>
      <c r="Y152" s="120"/>
      <c r="Z152" s="120"/>
    </row>
    <row r="153">
      <c r="A153" s="139"/>
      <c r="B153" s="28"/>
      <c r="C153" s="28"/>
      <c r="D153" s="28"/>
      <c r="E153" s="28"/>
      <c r="F153" s="44"/>
      <c r="G153" s="139"/>
      <c r="H153" s="28"/>
      <c r="I153" s="28"/>
      <c r="J153" s="28"/>
      <c r="K153" s="28"/>
      <c r="L153" s="44"/>
      <c r="M153" s="139"/>
      <c r="N153" s="28"/>
      <c r="O153" s="28"/>
      <c r="P153" s="28"/>
      <c r="Q153" s="28"/>
      <c r="R153" s="44"/>
      <c r="S153" s="120"/>
      <c r="T153" s="120"/>
      <c r="U153" s="120"/>
      <c r="V153" s="120"/>
      <c r="W153" s="120"/>
      <c r="X153" s="120"/>
      <c r="Y153" s="120"/>
      <c r="Z153" s="120"/>
    </row>
    <row r="154">
      <c r="A154" s="139"/>
      <c r="B154" s="33"/>
      <c r="C154" s="33"/>
      <c r="D154" s="33"/>
      <c r="E154" s="33"/>
      <c r="F154" s="34"/>
      <c r="G154" s="139"/>
      <c r="H154" s="33"/>
      <c r="I154" s="33"/>
      <c r="J154" s="33"/>
      <c r="K154" s="33"/>
      <c r="L154" s="34"/>
      <c r="M154" s="139"/>
      <c r="N154" s="33"/>
      <c r="O154" s="33"/>
      <c r="P154" s="33"/>
      <c r="Q154" s="33"/>
      <c r="R154" s="34"/>
      <c r="S154" s="120"/>
      <c r="T154" s="120"/>
      <c r="U154" s="120"/>
      <c r="V154" s="120"/>
      <c r="W154" s="120"/>
      <c r="X154" s="120"/>
      <c r="Y154" s="120"/>
      <c r="Z154" s="120"/>
    </row>
    <row r="155">
      <c r="A155" s="139"/>
      <c r="B155" s="142">
        <v>17.0</v>
      </c>
      <c r="C155" s="142">
        <v>29.0</v>
      </c>
      <c r="D155" s="142">
        <v>15.0</v>
      </c>
      <c r="E155" s="142">
        <v>15.0</v>
      </c>
      <c r="F155" s="44"/>
      <c r="G155" s="139"/>
      <c r="H155" s="142">
        <v>17.0</v>
      </c>
      <c r="I155" s="142">
        <v>38.0</v>
      </c>
      <c r="J155" s="142">
        <v>15.0</v>
      </c>
      <c r="K155" s="142">
        <v>15.0</v>
      </c>
      <c r="L155" s="44"/>
      <c r="M155" s="139"/>
      <c r="N155" s="142">
        <v>17.0</v>
      </c>
      <c r="O155" s="142">
        <v>47.0</v>
      </c>
      <c r="P155" s="142">
        <v>15.0</v>
      </c>
      <c r="Q155" s="142">
        <v>15.0</v>
      </c>
      <c r="R155" s="44"/>
      <c r="S155" s="120"/>
      <c r="T155" s="120"/>
      <c r="U155" s="120"/>
      <c r="V155" s="120"/>
      <c r="W155" s="120"/>
      <c r="X155" s="120"/>
      <c r="Y155" s="120"/>
      <c r="Z155" s="120"/>
    </row>
    <row r="156">
      <c r="A156" s="139"/>
      <c r="B156" s="143">
        <v>32.0</v>
      </c>
      <c r="C156" s="143">
        <v>8.0</v>
      </c>
      <c r="D156" s="47"/>
      <c r="E156" s="47"/>
      <c r="F156" s="41"/>
      <c r="G156" s="139"/>
      <c r="H156" s="143">
        <v>47.0</v>
      </c>
      <c r="I156" s="143">
        <v>8.0</v>
      </c>
      <c r="J156" s="47"/>
      <c r="K156" s="47"/>
      <c r="L156" s="41"/>
      <c r="M156" s="139"/>
      <c r="N156" s="143">
        <v>62.0</v>
      </c>
      <c r="O156" s="143">
        <v>8.0</v>
      </c>
      <c r="P156" s="47"/>
      <c r="Q156" s="47"/>
      <c r="R156" s="41"/>
      <c r="S156" s="120"/>
      <c r="T156" s="120"/>
      <c r="U156" s="120"/>
      <c r="V156" s="120"/>
      <c r="W156" s="120"/>
      <c r="X156" s="120"/>
      <c r="Y156" s="120"/>
      <c r="Z156" s="120"/>
    </row>
    <row r="157">
      <c r="A157" s="139"/>
      <c r="B157" s="28"/>
      <c r="C157" s="28"/>
      <c r="D157" s="28"/>
      <c r="E157" s="28"/>
      <c r="F157" s="44"/>
      <c r="G157" s="139"/>
      <c r="H157" s="28"/>
      <c r="I157" s="28"/>
      <c r="J157" s="28"/>
      <c r="K157" s="28"/>
      <c r="L157" s="44"/>
      <c r="M157" s="139"/>
      <c r="N157" s="28"/>
      <c r="O157" s="28"/>
      <c r="P157" s="28"/>
      <c r="Q157" s="28"/>
      <c r="R157" s="44"/>
      <c r="S157" s="120"/>
      <c r="T157" s="120"/>
      <c r="U157" s="120"/>
      <c r="V157" s="120"/>
      <c r="W157" s="120"/>
      <c r="X157" s="120"/>
      <c r="Y157" s="120"/>
      <c r="Z157" s="120"/>
    </row>
    <row r="158">
      <c r="A158" s="139"/>
      <c r="B158" s="47"/>
      <c r="C158" s="47"/>
      <c r="D158" s="47"/>
      <c r="E158" s="47"/>
      <c r="F158" s="144">
        <v>11.0</v>
      </c>
      <c r="G158" s="139"/>
      <c r="H158" s="47"/>
      <c r="I158" s="47"/>
      <c r="J158" s="47"/>
      <c r="K158" s="47"/>
      <c r="L158" s="144">
        <v>15.0</v>
      </c>
      <c r="M158" s="139"/>
      <c r="N158" s="47"/>
      <c r="O158" s="47"/>
      <c r="P158" s="47"/>
      <c r="Q158" s="47"/>
      <c r="R158" s="144">
        <v>19.0</v>
      </c>
      <c r="S158" s="120"/>
      <c r="T158" s="120"/>
      <c r="U158" s="120"/>
      <c r="V158" s="120"/>
      <c r="W158" s="120"/>
      <c r="X158" s="120"/>
      <c r="Y158" s="120"/>
      <c r="Z158" s="120"/>
    </row>
    <row r="159">
      <c r="A159" s="139"/>
      <c r="B159" s="28"/>
      <c r="C159" s="28"/>
      <c r="D159" s="28"/>
      <c r="E159" s="28"/>
      <c r="F159" s="63">
        <v>9.0</v>
      </c>
      <c r="G159" s="139"/>
      <c r="H159" s="28"/>
      <c r="I159" s="28"/>
      <c r="J159" s="28"/>
      <c r="K159" s="28"/>
      <c r="L159" s="63">
        <v>13.0</v>
      </c>
      <c r="M159" s="139"/>
      <c r="N159" s="28"/>
      <c r="O159" s="28"/>
      <c r="P159" s="28"/>
      <c r="Q159" s="28"/>
      <c r="R159" s="63">
        <v>17.0</v>
      </c>
      <c r="S159" s="120"/>
      <c r="T159" s="120"/>
      <c r="U159" s="120"/>
      <c r="V159" s="120"/>
      <c r="W159" s="120"/>
      <c r="X159" s="120"/>
      <c r="Y159" s="120"/>
      <c r="Z159" s="120"/>
    </row>
    <row r="160">
      <c r="A160" s="139"/>
      <c r="B160" s="47"/>
      <c r="C160" s="47"/>
      <c r="D160" s="47"/>
      <c r="E160" s="47"/>
      <c r="F160" s="144">
        <v>15.0</v>
      </c>
      <c r="G160" s="139"/>
      <c r="H160" s="47"/>
      <c r="I160" s="47"/>
      <c r="J160" s="47"/>
      <c r="K160" s="47"/>
      <c r="L160" s="144">
        <v>17.0</v>
      </c>
      <c r="M160" s="139"/>
      <c r="N160" s="47"/>
      <c r="O160" s="47"/>
      <c r="P160" s="47"/>
      <c r="Q160" s="47"/>
      <c r="R160" s="144">
        <v>22.0</v>
      </c>
      <c r="S160" s="120"/>
      <c r="T160" s="120"/>
      <c r="U160" s="120"/>
      <c r="V160" s="120"/>
      <c r="W160" s="120"/>
      <c r="X160" s="120"/>
      <c r="Y160" s="120"/>
      <c r="Z160" s="120"/>
    </row>
    <row r="161">
      <c r="A161" s="139"/>
      <c r="B161" s="28"/>
      <c r="C161" s="28"/>
      <c r="D161" s="28"/>
      <c r="E161" s="28"/>
      <c r="F161" s="44"/>
      <c r="G161" s="139"/>
      <c r="H161" s="28"/>
      <c r="I161" s="28"/>
      <c r="J161" s="28"/>
      <c r="K161" s="28"/>
      <c r="L161" s="44"/>
      <c r="M161" s="139"/>
      <c r="N161" s="28"/>
      <c r="O161" s="28"/>
      <c r="P161" s="28"/>
      <c r="Q161" s="28"/>
      <c r="R161" s="44"/>
      <c r="S161" s="120"/>
      <c r="T161" s="120"/>
      <c r="U161" s="120"/>
      <c r="V161" s="120"/>
      <c r="W161" s="120"/>
      <c r="X161" s="120"/>
      <c r="Y161" s="120"/>
      <c r="Z161" s="120"/>
    </row>
    <row r="162">
      <c r="A162" s="139"/>
      <c r="B162" s="33"/>
      <c r="C162" s="33"/>
      <c r="D162" s="33"/>
      <c r="E162" s="33"/>
      <c r="F162" s="34"/>
      <c r="G162" s="139"/>
      <c r="H162" s="33"/>
      <c r="I162" s="33"/>
      <c r="J162" s="33"/>
      <c r="K162" s="33"/>
      <c r="L162" s="34"/>
      <c r="M162" s="139"/>
      <c r="N162" s="33"/>
      <c r="O162" s="33"/>
      <c r="P162" s="33"/>
      <c r="Q162" s="33"/>
      <c r="R162" s="34"/>
      <c r="S162" s="120"/>
      <c r="T162" s="120"/>
      <c r="U162" s="120"/>
      <c r="V162" s="120"/>
      <c r="W162" s="120"/>
      <c r="X162" s="120"/>
      <c r="Y162" s="120"/>
      <c r="Z162" s="120"/>
    </row>
    <row r="163">
      <c r="A163" s="139"/>
      <c r="B163" s="28"/>
      <c r="C163" s="142">
        <v>10.0</v>
      </c>
      <c r="D163" s="28"/>
      <c r="E163" s="28"/>
      <c r="F163" s="44"/>
      <c r="G163" s="139"/>
      <c r="H163" s="142">
        <v>2.0</v>
      </c>
      <c r="I163" s="142">
        <v>12.0</v>
      </c>
      <c r="J163" s="142">
        <v>2.0</v>
      </c>
      <c r="K163" s="142">
        <v>2.0</v>
      </c>
      <c r="L163" s="44"/>
      <c r="M163" s="139"/>
      <c r="N163" s="142">
        <v>2.0</v>
      </c>
      <c r="O163" s="142">
        <v>15.0</v>
      </c>
      <c r="P163" s="142">
        <v>2.0</v>
      </c>
      <c r="Q163" s="142">
        <v>2.0</v>
      </c>
      <c r="R163" s="44"/>
      <c r="S163" s="120"/>
      <c r="T163" s="120"/>
      <c r="U163" s="120"/>
      <c r="V163" s="120"/>
      <c r="W163" s="120"/>
      <c r="X163" s="120"/>
      <c r="Y163" s="120"/>
      <c r="Z163" s="120"/>
    </row>
    <row r="164">
      <c r="A164" s="139"/>
      <c r="B164" s="47"/>
      <c r="C164" s="143">
        <v>1.0</v>
      </c>
      <c r="D164" s="47"/>
      <c r="E164" s="47"/>
      <c r="F164" s="41"/>
      <c r="G164" s="139"/>
      <c r="H164" s="47"/>
      <c r="I164" s="143">
        <v>3.0</v>
      </c>
      <c r="J164" s="47"/>
      <c r="K164" s="47"/>
      <c r="L164" s="41"/>
      <c r="M164" s="139"/>
      <c r="N164" s="143">
        <v>8.0</v>
      </c>
      <c r="O164" s="47"/>
      <c r="P164" s="47"/>
      <c r="Q164" s="47"/>
      <c r="R164" s="41"/>
      <c r="S164" s="120"/>
      <c r="T164" s="120"/>
      <c r="U164" s="120"/>
      <c r="V164" s="120"/>
      <c r="W164" s="120"/>
      <c r="X164" s="120"/>
      <c r="Y164" s="120"/>
      <c r="Z164" s="120"/>
    </row>
    <row r="165">
      <c r="A165" s="139"/>
      <c r="B165" s="142">
        <v>6.0</v>
      </c>
      <c r="C165" s="142">
        <v>3.0</v>
      </c>
      <c r="D165" s="28"/>
      <c r="E165" s="28"/>
      <c r="F165" s="44"/>
      <c r="G165" s="139"/>
      <c r="H165" s="142">
        <v>6.0</v>
      </c>
      <c r="I165" s="142">
        <v>5.0</v>
      </c>
      <c r="J165" s="28"/>
      <c r="K165" s="28"/>
      <c r="L165" s="44"/>
      <c r="M165" s="139"/>
      <c r="N165" s="142">
        <v>11.0</v>
      </c>
      <c r="O165" s="142"/>
      <c r="P165" s="28"/>
      <c r="Q165" s="28"/>
      <c r="R165" s="44"/>
      <c r="S165" s="120"/>
      <c r="T165" s="120"/>
      <c r="U165" s="120"/>
      <c r="V165" s="120"/>
      <c r="W165" s="120"/>
      <c r="X165" s="120"/>
      <c r="Y165" s="120"/>
      <c r="Z165" s="120"/>
    </row>
    <row r="166">
      <c r="A166" s="139"/>
      <c r="B166" s="143">
        <v>22.0</v>
      </c>
      <c r="C166" s="143">
        <v>22.0</v>
      </c>
      <c r="D166" s="143">
        <v>22.0</v>
      </c>
      <c r="E166" s="143">
        <v>22.0</v>
      </c>
      <c r="F166" s="41"/>
      <c r="G166" s="139"/>
      <c r="H166" s="143">
        <v>22.0</v>
      </c>
      <c r="I166" s="143">
        <v>22.0</v>
      </c>
      <c r="J166" s="143">
        <v>22.0</v>
      </c>
      <c r="K166" s="143">
        <v>22.0</v>
      </c>
      <c r="L166" s="41"/>
      <c r="M166" s="139"/>
      <c r="N166" s="143">
        <v>28.0</v>
      </c>
      <c r="O166" s="143">
        <v>28.0</v>
      </c>
      <c r="P166" s="143">
        <v>22.0</v>
      </c>
      <c r="Q166" s="143">
        <v>22.0</v>
      </c>
      <c r="R166" s="41"/>
      <c r="S166" s="120"/>
      <c r="T166" s="120"/>
      <c r="U166" s="120"/>
      <c r="V166" s="120"/>
      <c r="W166" s="120"/>
      <c r="X166" s="120"/>
      <c r="Y166" s="120"/>
      <c r="Z166" s="120"/>
    </row>
    <row r="167">
      <c r="A167" s="139"/>
      <c r="B167" s="28"/>
      <c r="C167" s="28"/>
      <c r="D167" s="28"/>
      <c r="E167" s="28"/>
      <c r="F167" s="44"/>
      <c r="G167" s="139"/>
      <c r="H167" s="28"/>
      <c r="I167" s="28"/>
      <c r="J167" s="28"/>
      <c r="K167" s="28"/>
      <c r="L167" s="44"/>
      <c r="M167" s="139"/>
      <c r="N167" s="28"/>
      <c r="O167" s="28"/>
      <c r="P167" s="28"/>
      <c r="Q167" s="28"/>
      <c r="R167" s="44"/>
      <c r="S167" s="120"/>
      <c r="T167" s="120"/>
      <c r="U167" s="120"/>
      <c r="V167" s="120"/>
      <c r="W167" s="120"/>
      <c r="X167" s="120"/>
      <c r="Y167" s="120"/>
      <c r="Z167" s="120"/>
    </row>
    <row r="168">
      <c r="A168" s="139"/>
      <c r="B168" s="143">
        <v>2.0</v>
      </c>
      <c r="C168" s="143">
        <v>2.0</v>
      </c>
      <c r="D168" s="143">
        <v>2.0</v>
      </c>
      <c r="E168" s="143">
        <v>2.0</v>
      </c>
      <c r="F168" s="41"/>
      <c r="G168" s="139"/>
      <c r="H168" s="143">
        <v>2.0</v>
      </c>
      <c r="I168" s="143">
        <v>2.0</v>
      </c>
      <c r="J168" s="143">
        <v>2.0</v>
      </c>
      <c r="K168" s="143">
        <v>2.0</v>
      </c>
      <c r="L168" s="41"/>
      <c r="M168" s="139"/>
      <c r="N168" s="143">
        <v>2.0</v>
      </c>
      <c r="O168" s="143">
        <v>2.0</v>
      </c>
      <c r="P168" s="143">
        <v>2.0</v>
      </c>
      <c r="Q168" s="143">
        <v>2.0</v>
      </c>
      <c r="R168" s="41"/>
      <c r="S168" s="120"/>
      <c r="T168" s="120"/>
      <c r="U168" s="120"/>
      <c r="V168" s="120"/>
      <c r="W168" s="120"/>
      <c r="X168" s="120"/>
      <c r="Y168" s="120"/>
      <c r="Z168" s="120"/>
    </row>
    <row r="169">
      <c r="A169" s="139"/>
      <c r="B169" s="142">
        <v>1.0</v>
      </c>
      <c r="C169" s="142">
        <v>1.0</v>
      </c>
      <c r="D169" s="142">
        <v>1.0</v>
      </c>
      <c r="E169" s="142">
        <v>1.0</v>
      </c>
      <c r="F169" s="44"/>
      <c r="G169" s="139"/>
      <c r="H169" s="142">
        <v>1.0</v>
      </c>
      <c r="I169" s="142">
        <v>1.0</v>
      </c>
      <c r="J169" s="142">
        <v>1.0</v>
      </c>
      <c r="K169" s="142">
        <v>1.0</v>
      </c>
      <c r="L169" s="44"/>
      <c r="M169" s="139"/>
      <c r="N169" s="142">
        <v>1.0</v>
      </c>
      <c r="O169" s="142">
        <v>1.0</v>
      </c>
      <c r="P169" s="142">
        <v>1.0</v>
      </c>
      <c r="Q169" s="142">
        <v>1.0</v>
      </c>
      <c r="R169" s="44"/>
      <c r="S169" s="120"/>
      <c r="T169" s="120"/>
      <c r="U169" s="120"/>
      <c r="V169" s="120"/>
      <c r="W169" s="120"/>
      <c r="X169" s="120"/>
      <c r="Y169" s="120"/>
      <c r="Z169" s="120"/>
    </row>
    <row r="170">
      <c r="A170" s="139"/>
      <c r="B170" s="143">
        <v>1.0</v>
      </c>
      <c r="C170" s="143">
        <v>1.0</v>
      </c>
      <c r="D170" s="143">
        <v>1.0</v>
      </c>
      <c r="E170" s="143">
        <v>1.0</v>
      </c>
      <c r="F170" s="41"/>
      <c r="G170" s="139"/>
      <c r="H170" s="143">
        <v>1.0</v>
      </c>
      <c r="I170" s="143">
        <v>1.0</v>
      </c>
      <c r="J170" s="143">
        <v>1.0</v>
      </c>
      <c r="K170" s="143">
        <v>1.0</v>
      </c>
      <c r="L170" s="41"/>
      <c r="M170" s="139"/>
      <c r="N170" s="143">
        <v>1.0</v>
      </c>
      <c r="O170" s="143">
        <v>1.0</v>
      </c>
      <c r="P170" s="143">
        <v>1.0</v>
      </c>
      <c r="Q170" s="143">
        <v>1.0</v>
      </c>
      <c r="R170" s="41"/>
      <c r="S170" s="120"/>
      <c r="T170" s="120"/>
      <c r="U170" s="120"/>
      <c r="V170" s="120"/>
      <c r="W170" s="120"/>
      <c r="X170" s="120"/>
      <c r="Y170" s="120"/>
      <c r="Z170" s="120"/>
    </row>
    <row r="171">
      <c r="A171" s="139"/>
      <c r="B171" s="142">
        <v>3.0</v>
      </c>
      <c r="C171" s="142">
        <v>3.0</v>
      </c>
      <c r="D171" s="142">
        <v>3.0</v>
      </c>
      <c r="E171" s="142">
        <v>3.0</v>
      </c>
      <c r="F171" s="63">
        <v>1.0</v>
      </c>
      <c r="G171" s="139"/>
      <c r="H171" s="142">
        <v>3.0</v>
      </c>
      <c r="I171" s="142">
        <v>3.0</v>
      </c>
      <c r="J171" s="142">
        <v>3.0</v>
      </c>
      <c r="K171" s="142">
        <v>3.0</v>
      </c>
      <c r="L171" s="63">
        <v>1.0</v>
      </c>
      <c r="M171" s="139"/>
      <c r="N171" s="142">
        <v>3.0</v>
      </c>
      <c r="O171" s="142">
        <v>3.0</v>
      </c>
      <c r="P171" s="142">
        <v>3.0</v>
      </c>
      <c r="Q171" s="142">
        <v>3.0</v>
      </c>
      <c r="R171" s="63">
        <v>1.0</v>
      </c>
      <c r="S171" s="120"/>
      <c r="T171" s="120"/>
      <c r="U171" s="120"/>
      <c r="V171" s="120"/>
      <c r="W171" s="120"/>
      <c r="X171" s="120"/>
      <c r="Y171" s="120"/>
      <c r="Z171" s="120"/>
    </row>
    <row r="172">
      <c r="A172" s="139"/>
      <c r="B172" s="143">
        <v>3.0</v>
      </c>
      <c r="C172" s="143">
        <v>3.0</v>
      </c>
      <c r="D172" s="143">
        <v>3.0</v>
      </c>
      <c r="E172" s="143">
        <v>3.0</v>
      </c>
      <c r="F172" s="41"/>
      <c r="G172" s="139"/>
      <c r="H172" s="143">
        <v>3.0</v>
      </c>
      <c r="I172" s="143">
        <v>3.0</v>
      </c>
      <c r="J172" s="143">
        <v>3.0</v>
      </c>
      <c r="K172" s="143">
        <v>3.0</v>
      </c>
      <c r="L172" s="41"/>
      <c r="M172" s="139"/>
      <c r="N172" s="143">
        <v>3.0</v>
      </c>
      <c r="O172" s="143">
        <v>3.0</v>
      </c>
      <c r="P172" s="143">
        <v>3.0</v>
      </c>
      <c r="Q172" s="143">
        <v>3.0</v>
      </c>
      <c r="R172" s="41"/>
      <c r="S172" s="120"/>
      <c r="T172" s="120"/>
      <c r="U172" s="120"/>
      <c r="V172" s="120"/>
      <c r="W172" s="120"/>
      <c r="X172" s="120"/>
      <c r="Y172" s="120"/>
      <c r="Z172" s="120"/>
    </row>
    <row r="173">
      <c r="A173" s="139"/>
      <c r="B173" s="28"/>
      <c r="C173" s="28"/>
      <c r="D173" s="28"/>
      <c r="E173" s="28"/>
      <c r="F173" s="44"/>
      <c r="G173" s="139"/>
      <c r="H173" s="28"/>
      <c r="I173" s="28"/>
      <c r="J173" s="28"/>
      <c r="K173" s="28"/>
      <c r="L173" s="44"/>
      <c r="M173" s="139"/>
      <c r="N173" s="28"/>
      <c r="O173" s="28"/>
      <c r="P173" s="28"/>
      <c r="Q173" s="28"/>
      <c r="R173" s="44"/>
      <c r="S173" s="120"/>
      <c r="T173" s="120"/>
      <c r="U173" s="120"/>
      <c r="V173" s="120"/>
      <c r="W173" s="120"/>
      <c r="X173" s="120"/>
      <c r="Y173" s="120"/>
      <c r="Z173" s="120"/>
    </row>
    <row r="174">
      <c r="A174" s="139"/>
      <c r="B174" s="33">
        <v>797.0</v>
      </c>
      <c r="C174" s="140">
        <v>25.0</v>
      </c>
      <c r="D174" s="140">
        <v>4.0</v>
      </c>
      <c r="E174" s="140">
        <v>4.0</v>
      </c>
      <c r="F174" s="34"/>
      <c r="G174" s="139"/>
      <c r="H174" s="33">
        <v>886.0</v>
      </c>
      <c r="I174" s="140">
        <v>11.0</v>
      </c>
      <c r="J174" s="140">
        <v>4.0</v>
      </c>
      <c r="K174" s="140">
        <v>4.0</v>
      </c>
      <c r="L174" s="34"/>
      <c r="M174" s="139"/>
      <c r="N174" s="33">
        <v>938.0</v>
      </c>
      <c r="O174" s="140">
        <v>4.0</v>
      </c>
      <c r="P174" s="140">
        <v>4.0</v>
      </c>
      <c r="Q174" s="140">
        <v>4.0</v>
      </c>
      <c r="R174" s="34"/>
      <c r="S174" s="120"/>
      <c r="T174" s="120"/>
      <c r="U174" s="120"/>
      <c r="V174" s="120"/>
      <c r="W174" s="120"/>
      <c r="X174" s="120"/>
      <c r="Y174" s="120"/>
      <c r="Z174" s="120"/>
    </row>
    <row r="175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>
      <c r="A176" s="120"/>
      <c r="B176" s="138" t="s">
        <v>237</v>
      </c>
      <c r="C176" s="138"/>
      <c r="D176" s="138"/>
      <c r="E176" s="138"/>
      <c r="F176" s="138"/>
      <c r="G176" s="120"/>
      <c r="H176" s="138" t="s">
        <v>238</v>
      </c>
      <c r="I176" s="138"/>
      <c r="J176" s="138"/>
      <c r="K176" s="138"/>
      <c r="L176" s="138"/>
      <c r="M176" s="120"/>
      <c r="N176" s="138" t="s">
        <v>239</v>
      </c>
      <c r="O176" s="138"/>
      <c r="P176" s="138"/>
      <c r="Q176" s="138"/>
      <c r="R176" s="138"/>
      <c r="S176" s="120"/>
      <c r="T176" s="120"/>
      <c r="U176" s="120"/>
      <c r="V176" s="120"/>
      <c r="W176" s="120"/>
      <c r="X176" s="120"/>
      <c r="Y176" s="120"/>
      <c r="Z176" s="120"/>
    </row>
    <row r="177">
      <c r="A177" s="139" t="s">
        <v>143</v>
      </c>
      <c r="B177" s="140"/>
      <c r="C177" s="140">
        <v>3.0</v>
      </c>
      <c r="D177" s="33"/>
      <c r="E177" s="33"/>
      <c r="F177" s="141">
        <v>103.0</v>
      </c>
      <c r="G177" s="139"/>
      <c r="H177" s="140"/>
      <c r="I177" s="140">
        <v>5.0</v>
      </c>
      <c r="J177" s="33"/>
      <c r="K177" s="33"/>
      <c r="L177" s="141">
        <v>113.0</v>
      </c>
      <c r="M177" s="139"/>
      <c r="N177" s="140"/>
      <c r="O177" s="140">
        <v>7.0</v>
      </c>
      <c r="P177" s="33"/>
      <c r="Q177" s="33"/>
      <c r="R177" s="141">
        <v>123.0</v>
      </c>
      <c r="S177" s="120"/>
      <c r="T177" s="120"/>
      <c r="U177" s="120"/>
      <c r="V177" s="120"/>
      <c r="W177" s="120"/>
      <c r="X177" s="120"/>
      <c r="Y177" s="120"/>
      <c r="Z177" s="120"/>
    </row>
    <row r="178">
      <c r="A178" s="139"/>
      <c r="B178" s="28"/>
      <c r="C178" s="28"/>
      <c r="D178" s="28"/>
      <c r="E178" s="28"/>
      <c r="F178" s="44"/>
      <c r="G178" s="139"/>
      <c r="H178" s="28"/>
      <c r="I178" s="28"/>
      <c r="J178" s="28"/>
      <c r="K178" s="28"/>
      <c r="L178" s="44"/>
      <c r="M178" s="139"/>
      <c r="N178" s="28"/>
      <c r="O178" s="28"/>
      <c r="P178" s="28"/>
      <c r="Q178" s="28"/>
      <c r="R178" s="44"/>
      <c r="S178" s="120"/>
      <c r="T178" s="120"/>
      <c r="U178" s="120"/>
      <c r="V178" s="120"/>
      <c r="W178" s="120"/>
      <c r="X178" s="120"/>
      <c r="Y178" s="120"/>
      <c r="Z178" s="120"/>
    </row>
    <row r="179">
      <c r="A179" s="139"/>
      <c r="B179" s="33"/>
      <c r="C179" s="33"/>
      <c r="D179" s="33"/>
      <c r="E179" s="33"/>
      <c r="F179" s="34"/>
      <c r="G179" s="139"/>
      <c r="H179" s="33"/>
      <c r="I179" s="33"/>
      <c r="J179" s="33"/>
      <c r="K179" s="33"/>
      <c r="L179" s="34"/>
      <c r="M179" s="139"/>
      <c r="N179" s="33"/>
      <c r="O179" s="33"/>
      <c r="P179" s="33"/>
      <c r="Q179" s="33"/>
      <c r="R179" s="34"/>
      <c r="S179" s="120"/>
      <c r="T179" s="120"/>
      <c r="U179" s="120"/>
      <c r="V179" s="120"/>
      <c r="W179" s="120"/>
      <c r="X179" s="120"/>
      <c r="Y179" s="120"/>
      <c r="Z179" s="120"/>
    </row>
    <row r="180">
      <c r="A180" s="139"/>
      <c r="B180" s="142">
        <v>17.0</v>
      </c>
      <c r="C180" s="142">
        <v>29.0</v>
      </c>
      <c r="D180" s="142">
        <v>15.0</v>
      </c>
      <c r="E180" s="142">
        <v>15.0</v>
      </c>
      <c r="F180" s="44"/>
      <c r="G180" s="139"/>
      <c r="H180" s="142">
        <v>17.0</v>
      </c>
      <c r="I180" s="142">
        <v>38.0</v>
      </c>
      <c r="J180" s="142">
        <v>15.0</v>
      </c>
      <c r="K180" s="142">
        <v>15.0</v>
      </c>
      <c r="L180" s="44"/>
      <c r="M180" s="139"/>
      <c r="N180" s="142">
        <v>17.0</v>
      </c>
      <c r="O180" s="142">
        <v>47.0</v>
      </c>
      <c r="P180" s="142">
        <v>15.0</v>
      </c>
      <c r="Q180" s="142">
        <v>15.0</v>
      </c>
      <c r="R180" s="44"/>
      <c r="S180" s="120"/>
      <c r="T180" s="120"/>
      <c r="U180" s="120"/>
      <c r="V180" s="120"/>
      <c r="W180" s="120"/>
      <c r="X180" s="120"/>
      <c r="Y180" s="120"/>
      <c r="Z180" s="120"/>
    </row>
    <row r="181">
      <c r="A181" s="139"/>
      <c r="B181" s="143">
        <v>27.0</v>
      </c>
      <c r="C181" s="143">
        <v>13.0</v>
      </c>
      <c r="D181" s="47"/>
      <c r="E181" s="47"/>
      <c r="F181" s="41"/>
      <c r="G181" s="139"/>
      <c r="H181" s="143">
        <v>27.0</v>
      </c>
      <c r="I181" s="143">
        <v>28.0</v>
      </c>
      <c r="J181" s="47"/>
      <c r="K181" s="47"/>
      <c r="L181" s="41"/>
      <c r="M181" s="139"/>
      <c r="N181" s="143">
        <v>27.0</v>
      </c>
      <c r="O181" s="143">
        <v>43.0</v>
      </c>
      <c r="P181" s="47"/>
      <c r="Q181" s="47"/>
      <c r="R181" s="41"/>
      <c r="S181" s="120"/>
      <c r="T181" s="120"/>
      <c r="U181" s="120"/>
      <c r="V181" s="120"/>
      <c r="W181" s="120"/>
      <c r="X181" s="120"/>
      <c r="Y181" s="120"/>
      <c r="Z181" s="120"/>
    </row>
    <row r="182">
      <c r="A182" s="139"/>
      <c r="B182" s="28"/>
      <c r="C182" s="28"/>
      <c r="D182" s="28"/>
      <c r="E182" s="28"/>
      <c r="F182" s="44"/>
      <c r="G182" s="139"/>
      <c r="H182" s="28"/>
      <c r="I182" s="28"/>
      <c r="J182" s="28"/>
      <c r="K182" s="28"/>
      <c r="L182" s="44"/>
      <c r="M182" s="139"/>
      <c r="N182" s="28"/>
      <c r="O182" s="28"/>
      <c r="P182" s="28"/>
      <c r="Q182" s="28"/>
      <c r="R182" s="44"/>
      <c r="S182" s="120"/>
      <c r="T182" s="120"/>
      <c r="U182" s="120"/>
      <c r="V182" s="120"/>
      <c r="W182" s="120"/>
      <c r="X182" s="120"/>
      <c r="Y182" s="120"/>
      <c r="Z182" s="120"/>
    </row>
    <row r="183">
      <c r="A183" s="139"/>
      <c r="B183" s="47"/>
      <c r="C183" s="47"/>
      <c r="D183" s="47"/>
      <c r="E183" s="47"/>
      <c r="F183" s="144">
        <v>11.0</v>
      </c>
      <c r="G183" s="139"/>
      <c r="H183" s="47"/>
      <c r="I183" s="47"/>
      <c r="J183" s="47"/>
      <c r="K183" s="47"/>
      <c r="L183" s="144">
        <v>15.0</v>
      </c>
      <c r="M183" s="139"/>
      <c r="N183" s="47"/>
      <c r="O183" s="47"/>
      <c r="P183" s="47"/>
      <c r="Q183" s="47"/>
      <c r="R183" s="144">
        <v>19.0</v>
      </c>
      <c r="S183" s="120"/>
      <c r="T183" s="120"/>
      <c r="U183" s="120"/>
      <c r="V183" s="120"/>
      <c r="W183" s="120"/>
      <c r="X183" s="120"/>
      <c r="Y183" s="120"/>
      <c r="Z183" s="120"/>
    </row>
    <row r="184">
      <c r="A184" s="139"/>
      <c r="B184" s="28"/>
      <c r="C184" s="28"/>
      <c r="D184" s="28"/>
      <c r="E184" s="28"/>
      <c r="F184" s="63">
        <v>9.0</v>
      </c>
      <c r="G184" s="139"/>
      <c r="H184" s="28"/>
      <c r="I184" s="28"/>
      <c r="J184" s="28"/>
      <c r="K184" s="28"/>
      <c r="L184" s="63">
        <v>13.0</v>
      </c>
      <c r="M184" s="139"/>
      <c r="N184" s="28"/>
      <c r="O184" s="28"/>
      <c r="P184" s="28"/>
      <c r="Q184" s="28"/>
      <c r="R184" s="63">
        <v>17.0</v>
      </c>
      <c r="S184" s="120"/>
      <c r="T184" s="120"/>
      <c r="U184" s="120"/>
      <c r="V184" s="120"/>
      <c r="W184" s="120"/>
      <c r="X184" s="120"/>
      <c r="Y184" s="120"/>
      <c r="Z184" s="120"/>
    </row>
    <row r="185">
      <c r="A185" s="139"/>
      <c r="B185" s="47"/>
      <c r="C185" s="47"/>
      <c r="D185" s="47"/>
      <c r="E185" s="47"/>
      <c r="F185" s="144">
        <v>15.0</v>
      </c>
      <c r="G185" s="139"/>
      <c r="H185" s="47"/>
      <c r="I185" s="47"/>
      <c r="J185" s="47"/>
      <c r="K185" s="47"/>
      <c r="L185" s="144">
        <v>17.0</v>
      </c>
      <c r="M185" s="139"/>
      <c r="N185" s="47"/>
      <c r="O185" s="47"/>
      <c r="P185" s="47"/>
      <c r="Q185" s="47"/>
      <c r="R185" s="144">
        <v>22.0</v>
      </c>
      <c r="S185" s="120"/>
      <c r="T185" s="120"/>
      <c r="U185" s="120"/>
      <c r="V185" s="120"/>
      <c r="W185" s="120"/>
      <c r="X185" s="120"/>
      <c r="Y185" s="120"/>
      <c r="Z185" s="120"/>
    </row>
    <row r="186">
      <c r="A186" s="139"/>
      <c r="B186" s="28"/>
      <c r="C186" s="28"/>
      <c r="D186" s="28"/>
      <c r="E186" s="28"/>
      <c r="F186" s="44"/>
      <c r="G186" s="139"/>
      <c r="H186" s="28"/>
      <c r="I186" s="28"/>
      <c r="J186" s="28"/>
      <c r="K186" s="28"/>
      <c r="L186" s="44"/>
      <c r="M186" s="139"/>
      <c r="N186" s="28"/>
      <c r="O186" s="28"/>
      <c r="P186" s="28"/>
      <c r="Q186" s="28"/>
      <c r="R186" s="44"/>
      <c r="S186" s="120"/>
      <c r="T186" s="120"/>
      <c r="U186" s="120"/>
      <c r="V186" s="120"/>
      <c r="W186" s="120"/>
      <c r="X186" s="120"/>
      <c r="Y186" s="120"/>
      <c r="Z186" s="120"/>
    </row>
    <row r="187">
      <c r="A187" s="139"/>
      <c r="B187" s="33"/>
      <c r="C187" s="33"/>
      <c r="D187" s="33"/>
      <c r="E187" s="33"/>
      <c r="F187" s="34"/>
      <c r="G187" s="139"/>
      <c r="H187" s="33"/>
      <c r="I187" s="33"/>
      <c r="J187" s="33"/>
      <c r="K187" s="33"/>
      <c r="L187" s="34"/>
      <c r="M187" s="139"/>
      <c r="N187" s="33"/>
      <c r="O187" s="33"/>
      <c r="P187" s="33"/>
      <c r="Q187" s="33"/>
      <c r="R187" s="34"/>
      <c r="S187" s="120"/>
      <c r="T187" s="120"/>
      <c r="U187" s="120"/>
      <c r="V187" s="120"/>
      <c r="W187" s="120"/>
      <c r="X187" s="120"/>
      <c r="Y187" s="120"/>
      <c r="Z187" s="120"/>
    </row>
    <row r="188">
      <c r="A188" s="139"/>
      <c r="B188" s="28"/>
      <c r="C188" s="142">
        <v>10.0</v>
      </c>
      <c r="D188" s="28"/>
      <c r="E188" s="28"/>
      <c r="F188" s="44"/>
      <c r="G188" s="139"/>
      <c r="H188" s="142">
        <v>2.0</v>
      </c>
      <c r="I188" s="142">
        <v>12.0</v>
      </c>
      <c r="J188" s="142">
        <v>2.0</v>
      </c>
      <c r="K188" s="142">
        <v>2.0</v>
      </c>
      <c r="L188" s="44"/>
      <c r="M188" s="139"/>
      <c r="N188" s="142">
        <v>2.0</v>
      </c>
      <c r="O188" s="142">
        <v>15.0</v>
      </c>
      <c r="P188" s="142">
        <v>2.0</v>
      </c>
      <c r="Q188" s="142">
        <v>2.0</v>
      </c>
      <c r="R188" s="44"/>
      <c r="S188" s="120"/>
      <c r="T188" s="120"/>
      <c r="U188" s="120"/>
      <c r="V188" s="120"/>
      <c r="W188" s="120"/>
      <c r="X188" s="120"/>
      <c r="Y188" s="120"/>
      <c r="Z188" s="120"/>
    </row>
    <row r="189">
      <c r="A189" s="139"/>
      <c r="B189" s="47"/>
      <c r="C189" s="143">
        <v>1.0</v>
      </c>
      <c r="D189" s="47"/>
      <c r="E189" s="47"/>
      <c r="F189" s="41"/>
      <c r="G189" s="139"/>
      <c r="H189" s="47"/>
      <c r="I189" s="143">
        <v>3.0</v>
      </c>
      <c r="J189" s="47"/>
      <c r="K189" s="47"/>
      <c r="L189" s="41"/>
      <c r="M189" s="139"/>
      <c r="N189" s="143">
        <v>8.0</v>
      </c>
      <c r="O189" s="47"/>
      <c r="P189" s="47"/>
      <c r="Q189" s="47"/>
      <c r="R189" s="41"/>
      <c r="S189" s="120"/>
      <c r="T189" s="120"/>
      <c r="U189" s="120"/>
      <c r="V189" s="120"/>
      <c r="W189" s="120"/>
      <c r="X189" s="120"/>
      <c r="Y189" s="120"/>
      <c r="Z189" s="120"/>
    </row>
    <row r="190">
      <c r="A190" s="139"/>
      <c r="B190" s="142">
        <v>6.0</v>
      </c>
      <c r="C190" s="142">
        <v>3.0</v>
      </c>
      <c r="D190" s="28"/>
      <c r="E190" s="28"/>
      <c r="F190" s="44"/>
      <c r="G190" s="139"/>
      <c r="H190" s="142">
        <v>6.0</v>
      </c>
      <c r="I190" s="142">
        <v>5.0</v>
      </c>
      <c r="J190" s="28"/>
      <c r="K190" s="28"/>
      <c r="L190" s="44"/>
      <c r="M190" s="139"/>
      <c r="N190" s="142">
        <v>6.0</v>
      </c>
      <c r="O190" s="142">
        <v>7.0</v>
      </c>
      <c r="P190" s="28"/>
      <c r="Q190" s="28"/>
      <c r="R190" s="44"/>
      <c r="S190" s="120"/>
      <c r="T190" s="120"/>
      <c r="U190" s="120"/>
      <c r="V190" s="120"/>
      <c r="W190" s="120"/>
      <c r="X190" s="120"/>
      <c r="Y190" s="120"/>
      <c r="Z190" s="120"/>
    </row>
    <row r="191">
      <c r="A191" s="139"/>
      <c r="B191" s="143">
        <v>22.0</v>
      </c>
      <c r="C191" s="143">
        <v>22.0</v>
      </c>
      <c r="D191" s="143">
        <v>22.0</v>
      </c>
      <c r="E191" s="143">
        <v>22.0</v>
      </c>
      <c r="F191" s="41"/>
      <c r="G191" s="139"/>
      <c r="H191" s="143">
        <v>22.0</v>
      </c>
      <c r="I191" s="143">
        <v>22.0</v>
      </c>
      <c r="J191" s="143">
        <v>22.0</v>
      </c>
      <c r="K191" s="143">
        <v>22.0</v>
      </c>
      <c r="L191" s="41"/>
      <c r="M191" s="139"/>
      <c r="N191" s="143">
        <v>28.0</v>
      </c>
      <c r="O191" s="143">
        <v>28.0</v>
      </c>
      <c r="P191" s="143">
        <v>22.0</v>
      </c>
      <c r="Q191" s="143">
        <v>22.0</v>
      </c>
      <c r="R191" s="41"/>
      <c r="S191" s="120"/>
      <c r="T191" s="120"/>
      <c r="U191" s="120"/>
      <c r="V191" s="120"/>
      <c r="W191" s="120"/>
      <c r="X191" s="120"/>
      <c r="Y191" s="120"/>
      <c r="Z191" s="120"/>
    </row>
    <row r="192">
      <c r="A192" s="139"/>
      <c r="B192" s="28"/>
      <c r="C192" s="28"/>
      <c r="D192" s="28"/>
      <c r="E192" s="28"/>
      <c r="F192" s="44"/>
      <c r="G192" s="139"/>
      <c r="H192" s="28"/>
      <c r="I192" s="28"/>
      <c r="J192" s="28"/>
      <c r="K192" s="28"/>
      <c r="L192" s="44"/>
      <c r="M192" s="139"/>
      <c r="N192" s="28"/>
      <c r="O192" s="28"/>
      <c r="P192" s="28"/>
      <c r="Q192" s="28"/>
      <c r="R192" s="44"/>
      <c r="S192" s="120"/>
      <c r="T192" s="120"/>
      <c r="U192" s="120"/>
      <c r="V192" s="120"/>
      <c r="W192" s="120"/>
      <c r="X192" s="120"/>
      <c r="Y192" s="120"/>
      <c r="Z192" s="120"/>
    </row>
    <row r="193">
      <c r="A193" s="139"/>
      <c r="B193" s="143">
        <v>2.0</v>
      </c>
      <c r="C193" s="143">
        <v>2.0</v>
      </c>
      <c r="D193" s="143">
        <v>2.0</v>
      </c>
      <c r="E193" s="143">
        <v>2.0</v>
      </c>
      <c r="F193" s="41"/>
      <c r="G193" s="139"/>
      <c r="H193" s="143">
        <v>2.0</v>
      </c>
      <c r="I193" s="143">
        <v>2.0</v>
      </c>
      <c r="J193" s="143">
        <v>2.0</v>
      </c>
      <c r="K193" s="143">
        <v>2.0</v>
      </c>
      <c r="L193" s="41"/>
      <c r="M193" s="139"/>
      <c r="N193" s="143">
        <v>2.0</v>
      </c>
      <c r="O193" s="143">
        <v>2.0</v>
      </c>
      <c r="P193" s="143">
        <v>2.0</v>
      </c>
      <c r="Q193" s="143">
        <v>2.0</v>
      </c>
      <c r="R193" s="41"/>
      <c r="S193" s="120"/>
      <c r="T193" s="120"/>
      <c r="U193" s="120"/>
      <c r="V193" s="120"/>
      <c r="W193" s="120"/>
      <c r="X193" s="120"/>
      <c r="Y193" s="120"/>
      <c r="Z193" s="120"/>
    </row>
    <row r="194">
      <c r="A194" s="139"/>
      <c r="B194" s="142">
        <v>1.0</v>
      </c>
      <c r="C194" s="142">
        <v>1.0</v>
      </c>
      <c r="D194" s="142">
        <v>1.0</v>
      </c>
      <c r="E194" s="142">
        <v>1.0</v>
      </c>
      <c r="F194" s="44"/>
      <c r="G194" s="139"/>
      <c r="H194" s="142">
        <v>1.0</v>
      </c>
      <c r="I194" s="142">
        <v>1.0</v>
      </c>
      <c r="J194" s="142">
        <v>1.0</v>
      </c>
      <c r="K194" s="142">
        <v>1.0</v>
      </c>
      <c r="L194" s="44"/>
      <c r="M194" s="139"/>
      <c r="N194" s="142">
        <v>1.0</v>
      </c>
      <c r="O194" s="142">
        <v>1.0</v>
      </c>
      <c r="P194" s="142">
        <v>1.0</v>
      </c>
      <c r="Q194" s="142">
        <v>1.0</v>
      </c>
      <c r="R194" s="44"/>
      <c r="S194" s="120"/>
      <c r="T194" s="120"/>
      <c r="U194" s="120"/>
      <c r="V194" s="120"/>
      <c r="W194" s="120"/>
      <c r="X194" s="120"/>
      <c r="Y194" s="120"/>
      <c r="Z194" s="120"/>
    </row>
    <row r="195">
      <c r="A195" s="139"/>
      <c r="B195" s="143">
        <v>1.0</v>
      </c>
      <c r="C195" s="143">
        <v>1.0</v>
      </c>
      <c r="D195" s="143">
        <v>1.0</v>
      </c>
      <c r="E195" s="143">
        <v>1.0</v>
      </c>
      <c r="F195" s="41"/>
      <c r="G195" s="139"/>
      <c r="H195" s="143">
        <v>1.0</v>
      </c>
      <c r="I195" s="143">
        <v>1.0</v>
      </c>
      <c r="J195" s="143">
        <v>1.0</v>
      </c>
      <c r="K195" s="143">
        <v>1.0</v>
      </c>
      <c r="L195" s="41"/>
      <c r="M195" s="139"/>
      <c r="N195" s="143">
        <v>1.0</v>
      </c>
      <c r="O195" s="143">
        <v>1.0</v>
      </c>
      <c r="P195" s="143">
        <v>1.0</v>
      </c>
      <c r="Q195" s="143">
        <v>1.0</v>
      </c>
      <c r="R195" s="41"/>
      <c r="S195" s="120"/>
      <c r="T195" s="120"/>
      <c r="U195" s="120"/>
      <c r="V195" s="120"/>
      <c r="W195" s="120"/>
      <c r="X195" s="120"/>
      <c r="Y195" s="120"/>
      <c r="Z195" s="120"/>
    </row>
    <row r="196">
      <c r="A196" s="139"/>
      <c r="B196" s="142">
        <v>3.0</v>
      </c>
      <c r="C196" s="142">
        <v>3.0</v>
      </c>
      <c r="D196" s="142">
        <v>3.0</v>
      </c>
      <c r="E196" s="142">
        <v>3.0</v>
      </c>
      <c r="F196" s="63">
        <v>1.0</v>
      </c>
      <c r="G196" s="139"/>
      <c r="H196" s="142">
        <v>3.0</v>
      </c>
      <c r="I196" s="142">
        <v>3.0</v>
      </c>
      <c r="J196" s="142">
        <v>3.0</v>
      </c>
      <c r="K196" s="142">
        <v>3.0</v>
      </c>
      <c r="L196" s="63">
        <v>1.0</v>
      </c>
      <c r="M196" s="139"/>
      <c r="N196" s="142">
        <v>3.0</v>
      </c>
      <c r="O196" s="142">
        <v>3.0</v>
      </c>
      <c r="P196" s="142">
        <v>3.0</v>
      </c>
      <c r="Q196" s="142">
        <v>3.0</v>
      </c>
      <c r="R196" s="63">
        <v>1.0</v>
      </c>
      <c r="S196" s="120"/>
      <c r="T196" s="120"/>
      <c r="U196" s="120"/>
      <c r="V196" s="120"/>
      <c r="W196" s="120"/>
      <c r="X196" s="120"/>
      <c r="Y196" s="120"/>
      <c r="Z196" s="120"/>
    </row>
    <row r="197">
      <c r="A197" s="139"/>
      <c r="B197" s="143">
        <v>3.0</v>
      </c>
      <c r="C197" s="143">
        <v>3.0</v>
      </c>
      <c r="D197" s="143">
        <v>3.0</v>
      </c>
      <c r="E197" s="143">
        <v>3.0</v>
      </c>
      <c r="F197" s="41"/>
      <c r="G197" s="139"/>
      <c r="H197" s="143">
        <v>3.0</v>
      </c>
      <c r="I197" s="143">
        <v>3.0</v>
      </c>
      <c r="J197" s="143">
        <v>3.0</v>
      </c>
      <c r="K197" s="143">
        <v>3.0</v>
      </c>
      <c r="L197" s="41"/>
      <c r="M197" s="139"/>
      <c r="N197" s="143">
        <v>3.0</v>
      </c>
      <c r="O197" s="143">
        <v>3.0</v>
      </c>
      <c r="P197" s="143">
        <v>3.0</v>
      </c>
      <c r="Q197" s="143">
        <v>3.0</v>
      </c>
      <c r="R197" s="41"/>
      <c r="S197" s="120"/>
      <c r="T197" s="120"/>
      <c r="U197" s="120"/>
      <c r="V197" s="120"/>
      <c r="W197" s="120"/>
      <c r="X197" s="120"/>
      <c r="Y197" s="120"/>
      <c r="Z197" s="120"/>
    </row>
    <row r="198">
      <c r="A198" s="139"/>
      <c r="B198" s="28"/>
      <c r="C198" s="28"/>
      <c r="D198" s="28"/>
      <c r="E198" s="28"/>
      <c r="F198" s="44"/>
      <c r="G198" s="139"/>
      <c r="H198" s="28"/>
      <c r="I198" s="28"/>
      <c r="J198" s="28"/>
      <c r="K198" s="28"/>
      <c r="L198" s="44"/>
      <c r="M198" s="139"/>
      <c r="N198" s="28"/>
      <c r="O198" s="28"/>
      <c r="P198" s="28"/>
      <c r="Q198" s="28"/>
      <c r="R198" s="44"/>
      <c r="S198" s="120"/>
      <c r="T198" s="120"/>
      <c r="U198" s="120"/>
      <c r="V198" s="120"/>
      <c r="W198" s="120"/>
      <c r="X198" s="120"/>
      <c r="Y198" s="120"/>
      <c r="Z198" s="120"/>
    </row>
    <row r="199">
      <c r="A199" s="139"/>
      <c r="B199" s="33">
        <v>26.0</v>
      </c>
      <c r="C199" s="140">
        <v>796.0</v>
      </c>
      <c r="D199" s="140">
        <v>4.0</v>
      </c>
      <c r="E199" s="140">
        <v>4.0</v>
      </c>
      <c r="F199" s="34"/>
      <c r="G199" s="139"/>
      <c r="H199" s="33">
        <v>24.0</v>
      </c>
      <c r="I199" s="140">
        <v>873.0</v>
      </c>
      <c r="J199" s="140">
        <v>4.0</v>
      </c>
      <c r="K199" s="140">
        <v>4.0</v>
      </c>
      <c r="L199" s="34"/>
      <c r="M199" s="139"/>
      <c r="N199" s="33">
        <v>11.0</v>
      </c>
      <c r="O199" s="140">
        <v>931.0</v>
      </c>
      <c r="P199" s="140">
        <v>4.0</v>
      </c>
      <c r="Q199" s="140">
        <v>4.0</v>
      </c>
      <c r="R199" s="34"/>
      <c r="S199" s="120"/>
      <c r="T199" s="120"/>
      <c r="U199" s="120"/>
      <c r="V199" s="120"/>
      <c r="W199" s="120"/>
      <c r="X199" s="120"/>
      <c r="Y199" s="120"/>
      <c r="Z199" s="120"/>
    </row>
    <row r="200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>
      <c r="A201" s="120"/>
      <c r="B201" s="120"/>
      <c r="C201" s="138"/>
      <c r="D201" s="138"/>
      <c r="E201" s="138"/>
      <c r="F201" s="138"/>
      <c r="G201" s="120"/>
      <c r="H201" s="120"/>
      <c r="I201" s="138"/>
      <c r="J201" s="138"/>
      <c r="K201" s="138"/>
      <c r="L201" s="138"/>
      <c r="M201" s="120"/>
      <c r="N201" s="120"/>
      <c r="O201" s="138"/>
      <c r="P201" s="138"/>
      <c r="Q201" s="138"/>
      <c r="R201" s="138"/>
      <c r="S201" s="120"/>
      <c r="T201" s="120"/>
      <c r="U201" s="120"/>
      <c r="V201" s="120"/>
      <c r="W201" s="120"/>
      <c r="X201" s="120"/>
      <c r="Y201" s="120"/>
      <c r="Z201" s="120"/>
    </row>
    <row r="202">
      <c r="A202" s="139" t="s">
        <v>242</v>
      </c>
      <c r="B202" s="33"/>
      <c r="C202" s="33"/>
      <c r="D202" s="140">
        <v>17.0</v>
      </c>
      <c r="E202" s="33"/>
      <c r="F202" s="141">
        <v>170.0</v>
      </c>
      <c r="G202" s="139"/>
      <c r="H202" s="33"/>
      <c r="I202" s="33"/>
      <c r="J202" s="140">
        <v>23.0</v>
      </c>
      <c r="K202" s="33"/>
      <c r="L202" s="141">
        <v>180.0</v>
      </c>
      <c r="M202" s="139"/>
      <c r="N202" s="33"/>
      <c r="O202" s="33"/>
      <c r="P202" s="140">
        <v>29.0</v>
      </c>
      <c r="Q202" s="33"/>
      <c r="R202" s="141">
        <v>190.0</v>
      </c>
      <c r="S202" s="120"/>
      <c r="T202" s="120"/>
      <c r="U202" s="120"/>
      <c r="V202" s="120"/>
      <c r="W202" s="120"/>
      <c r="X202" s="120"/>
      <c r="Y202" s="120"/>
      <c r="Z202" s="120"/>
    </row>
    <row r="203">
      <c r="A203" s="139"/>
      <c r="B203" s="28"/>
      <c r="C203" s="28"/>
      <c r="D203" s="142">
        <v>7.0</v>
      </c>
      <c r="E203" s="28"/>
      <c r="F203" s="63">
        <v>13.0</v>
      </c>
      <c r="G203" s="139"/>
      <c r="H203" s="28"/>
      <c r="I203" s="28"/>
      <c r="J203" s="142">
        <v>23.0</v>
      </c>
      <c r="K203" s="28"/>
      <c r="L203" s="63">
        <v>12.0</v>
      </c>
      <c r="M203" s="139"/>
      <c r="N203" s="28"/>
      <c r="O203" s="28"/>
      <c r="P203" s="142">
        <v>30.0</v>
      </c>
      <c r="Q203" s="28"/>
      <c r="R203" s="63">
        <v>20.0</v>
      </c>
      <c r="S203" s="120"/>
      <c r="T203" s="120"/>
      <c r="U203" s="120"/>
      <c r="V203" s="120"/>
      <c r="W203" s="120"/>
      <c r="X203" s="120"/>
      <c r="Y203" s="120"/>
      <c r="Z203" s="120"/>
    </row>
    <row r="204">
      <c r="A204" s="139"/>
      <c r="B204" s="33"/>
      <c r="C204" s="33"/>
      <c r="D204" s="33"/>
      <c r="E204" s="33"/>
      <c r="F204" s="34"/>
      <c r="G204" s="139"/>
      <c r="H204" s="33"/>
      <c r="I204" s="33"/>
      <c r="J204" s="33"/>
      <c r="K204" s="33"/>
      <c r="L204" s="34"/>
      <c r="M204" s="139"/>
      <c r="N204" s="33"/>
      <c r="O204" s="33"/>
      <c r="P204" s="33"/>
      <c r="Q204" s="33"/>
      <c r="R204" s="34"/>
      <c r="S204" s="120"/>
      <c r="T204" s="120"/>
      <c r="U204" s="120"/>
      <c r="V204" s="120"/>
      <c r="W204" s="120"/>
      <c r="X204" s="120"/>
      <c r="Y204" s="120"/>
      <c r="Z204" s="120"/>
    </row>
    <row r="205">
      <c r="A205" s="139"/>
      <c r="B205" s="142">
        <v>15.0</v>
      </c>
      <c r="C205" s="142">
        <v>15.0</v>
      </c>
      <c r="D205" s="142">
        <v>29.0</v>
      </c>
      <c r="E205" s="142">
        <v>17.0</v>
      </c>
      <c r="F205" s="44"/>
      <c r="G205" s="139"/>
      <c r="H205" s="142">
        <v>15.0</v>
      </c>
      <c r="I205" s="142">
        <v>15.0</v>
      </c>
      <c r="J205" s="142">
        <v>38.0</v>
      </c>
      <c r="K205" s="142">
        <v>17.0</v>
      </c>
      <c r="L205" s="44"/>
      <c r="M205" s="139"/>
      <c r="N205" s="142">
        <v>15.0</v>
      </c>
      <c r="O205" s="142">
        <v>15.0</v>
      </c>
      <c r="P205" s="142">
        <v>47.0</v>
      </c>
      <c r="Q205" s="142">
        <v>17.0</v>
      </c>
      <c r="R205" s="44"/>
      <c r="S205" s="120"/>
      <c r="T205" s="120"/>
      <c r="U205" s="120"/>
      <c r="V205" s="120"/>
      <c r="W205" s="120"/>
      <c r="X205" s="120"/>
      <c r="Y205" s="120"/>
      <c r="Z205" s="120"/>
    </row>
    <row r="206">
      <c r="A206" s="139"/>
      <c r="B206" s="47" t="s">
        <v>243</v>
      </c>
      <c r="C206" s="47"/>
      <c r="D206" s="143">
        <v>30.0</v>
      </c>
      <c r="E206" s="47"/>
      <c r="F206" s="41"/>
      <c r="G206" s="139"/>
      <c r="H206" s="47" t="s">
        <v>243</v>
      </c>
      <c r="I206" s="47"/>
      <c r="J206" s="143">
        <v>44.0</v>
      </c>
      <c r="K206" s="47"/>
      <c r="L206" s="41"/>
      <c r="M206" s="139"/>
      <c r="N206" s="47" t="s">
        <v>243</v>
      </c>
      <c r="O206" s="47"/>
      <c r="P206" s="143">
        <v>59.0</v>
      </c>
      <c r="Q206" s="47"/>
      <c r="R206" s="41"/>
      <c r="S206" s="120"/>
      <c r="T206" s="120"/>
      <c r="U206" s="120"/>
      <c r="V206" s="120"/>
      <c r="W206" s="120"/>
      <c r="X206" s="120"/>
      <c r="Y206" s="120"/>
      <c r="Z206" s="120"/>
    </row>
    <row r="207">
      <c r="A207" s="139"/>
      <c r="B207" s="142"/>
      <c r="C207" s="28"/>
      <c r="D207" s="28"/>
      <c r="E207" s="28"/>
      <c r="F207" s="44"/>
      <c r="G207" s="139"/>
      <c r="H207" s="142"/>
      <c r="I207" s="28"/>
      <c r="J207" s="28"/>
      <c r="K207" s="28"/>
      <c r="L207" s="44"/>
      <c r="M207" s="139"/>
      <c r="N207" s="142"/>
      <c r="O207" s="28"/>
      <c r="P207" s="28"/>
      <c r="Q207" s="28"/>
      <c r="R207" s="44"/>
      <c r="S207" s="120"/>
      <c r="T207" s="120"/>
      <c r="U207" s="120"/>
      <c r="V207" s="120"/>
      <c r="W207" s="120"/>
      <c r="X207" s="120"/>
      <c r="Y207" s="120"/>
      <c r="Z207" s="120"/>
    </row>
    <row r="208">
      <c r="A208" s="139"/>
      <c r="B208" s="47"/>
      <c r="C208" s="47"/>
      <c r="D208" s="143">
        <v>10.0</v>
      </c>
      <c r="E208" s="47"/>
      <c r="F208" s="144">
        <v>7.0</v>
      </c>
      <c r="G208" s="139"/>
      <c r="H208" s="47"/>
      <c r="I208" s="47"/>
      <c r="J208" s="143">
        <v>10.0</v>
      </c>
      <c r="K208" s="47"/>
      <c r="L208" s="144">
        <v>12.0</v>
      </c>
      <c r="M208" s="139"/>
      <c r="N208" s="47"/>
      <c r="O208" s="47"/>
      <c r="P208" s="143">
        <v>40.0</v>
      </c>
      <c r="Q208" s="47"/>
      <c r="R208" s="41"/>
      <c r="S208" s="120"/>
      <c r="T208" s="120"/>
      <c r="U208" s="120"/>
      <c r="V208" s="120"/>
      <c r="W208" s="120"/>
      <c r="X208" s="120"/>
      <c r="Y208" s="120"/>
      <c r="Z208" s="120"/>
    </row>
    <row r="209">
      <c r="A209" s="139"/>
      <c r="B209" s="28"/>
      <c r="C209" s="28"/>
      <c r="D209" s="142">
        <v>8.0</v>
      </c>
      <c r="E209" s="28"/>
      <c r="F209" s="44"/>
      <c r="G209" s="139"/>
      <c r="H209" s="28"/>
      <c r="I209" s="28"/>
      <c r="J209" s="142">
        <v>8.0</v>
      </c>
      <c r="K209" s="28"/>
      <c r="L209" s="44"/>
      <c r="M209" s="139"/>
      <c r="N209" s="28"/>
      <c r="O209" s="28"/>
      <c r="P209" s="142">
        <v>8.0</v>
      </c>
      <c r="Q209" s="28"/>
      <c r="R209" s="44"/>
      <c r="S209" s="120"/>
      <c r="T209" s="120"/>
      <c r="U209" s="120"/>
      <c r="V209" s="120"/>
      <c r="W209" s="120"/>
      <c r="X209" s="120"/>
      <c r="Y209" s="120"/>
      <c r="Z209" s="120"/>
    </row>
    <row r="210">
      <c r="A210" s="139"/>
      <c r="B210" s="47"/>
      <c r="C210" s="47"/>
      <c r="D210" s="143">
        <v>6.0</v>
      </c>
      <c r="E210" s="47"/>
      <c r="F210" s="144">
        <v>14.0</v>
      </c>
      <c r="G210" s="139"/>
      <c r="H210" s="47"/>
      <c r="I210" s="47"/>
      <c r="J210" s="143">
        <v>12.0</v>
      </c>
      <c r="K210" s="47"/>
      <c r="L210" s="144">
        <v>20.0</v>
      </c>
      <c r="M210" s="139"/>
      <c r="N210" s="47"/>
      <c r="O210" s="47"/>
      <c r="P210" s="143">
        <v>15.0</v>
      </c>
      <c r="Q210" s="47"/>
      <c r="R210" s="144">
        <v>23.0</v>
      </c>
      <c r="S210" s="120"/>
      <c r="T210" s="120"/>
      <c r="U210" s="120"/>
      <c r="V210" s="120"/>
      <c r="W210" s="120"/>
      <c r="X210" s="120"/>
      <c r="Y210" s="120"/>
      <c r="Z210" s="120"/>
    </row>
    <row r="211">
      <c r="A211" s="139"/>
      <c r="B211" s="142"/>
      <c r="C211" s="28"/>
      <c r="D211" s="28"/>
      <c r="E211" s="28"/>
      <c r="F211" s="44"/>
      <c r="G211" s="139"/>
      <c r="H211" s="142"/>
      <c r="I211" s="28"/>
      <c r="J211" s="28"/>
      <c r="K211" s="28"/>
      <c r="L211" s="44"/>
      <c r="M211" s="139"/>
      <c r="N211" s="142"/>
      <c r="O211" s="28"/>
      <c r="P211" s="28"/>
      <c r="Q211" s="28"/>
      <c r="R211" s="44"/>
      <c r="S211" s="120"/>
      <c r="T211" s="120"/>
      <c r="U211" s="120"/>
      <c r="V211" s="120"/>
      <c r="W211" s="120"/>
      <c r="X211" s="120"/>
      <c r="Y211" s="120"/>
      <c r="Z211" s="120"/>
    </row>
    <row r="212">
      <c r="A212" s="139"/>
      <c r="B212" s="33"/>
      <c r="C212" s="33"/>
      <c r="D212" s="33"/>
      <c r="E212" s="33"/>
      <c r="F212" s="34"/>
      <c r="G212" s="139"/>
      <c r="H212" s="33"/>
      <c r="I212" s="33"/>
      <c r="J212" s="33"/>
      <c r="K212" s="33"/>
      <c r="L212" s="34"/>
      <c r="M212" s="139"/>
      <c r="N212" s="33"/>
      <c r="O212" s="33"/>
      <c r="P212" s="33"/>
      <c r="Q212" s="33"/>
      <c r="R212" s="34"/>
      <c r="S212" s="120"/>
      <c r="T212" s="120"/>
      <c r="U212" s="120"/>
      <c r="V212" s="120"/>
      <c r="W212" s="120"/>
      <c r="X212" s="120"/>
      <c r="Y212" s="120"/>
      <c r="Z212" s="120"/>
    </row>
    <row r="213">
      <c r="A213" s="139"/>
      <c r="B213" s="142"/>
      <c r="C213" s="28"/>
      <c r="D213" s="142">
        <v>15.0</v>
      </c>
      <c r="E213" s="28"/>
      <c r="F213" s="63">
        <v>9.0</v>
      </c>
      <c r="G213" s="139"/>
      <c r="H213" s="142"/>
      <c r="I213" s="28"/>
      <c r="J213" s="142">
        <v>19.0</v>
      </c>
      <c r="K213" s="28"/>
      <c r="L213" s="63">
        <v>13.0</v>
      </c>
      <c r="M213" s="139"/>
      <c r="N213" s="142"/>
      <c r="O213" s="28"/>
      <c r="P213" s="142">
        <v>25.0</v>
      </c>
      <c r="Q213" s="28"/>
      <c r="R213" s="63">
        <v>15.0</v>
      </c>
      <c r="S213" s="120"/>
      <c r="T213" s="120"/>
      <c r="U213" s="120"/>
      <c r="V213" s="120"/>
      <c r="W213" s="120"/>
      <c r="X213" s="120"/>
      <c r="Y213" s="120"/>
      <c r="Z213" s="120"/>
    </row>
    <row r="214">
      <c r="A214" s="139"/>
      <c r="B214" s="47"/>
      <c r="C214" s="47"/>
      <c r="D214" s="143">
        <v>9.0</v>
      </c>
      <c r="E214" s="47"/>
      <c r="F214" s="41"/>
      <c r="G214" s="139"/>
      <c r="H214" s="47"/>
      <c r="I214" s="47"/>
      <c r="J214" s="143">
        <v>15.0</v>
      </c>
      <c r="K214" s="47"/>
      <c r="L214" s="41"/>
      <c r="M214" s="139"/>
      <c r="N214" s="47"/>
      <c r="O214" s="47"/>
      <c r="P214" s="143">
        <v>21.0</v>
      </c>
      <c r="Q214" s="47"/>
      <c r="R214" s="41"/>
      <c r="S214" s="120"/>
      <c r="T214" s="120"/>
      <c r="U214" s="120"/>
      <c r="V214" s="120"/>
      <c r="W214" s="120"/>
      <c r="X214" s="120"/>
      <c r="Y214" s="120"/>
      <c r="Z214" s="120"/>
    </row>
    <row r="215">
      <c r="A215" s="139"/>
      <c r="B215" s="142"/>
      <c r="C215" s="28"/>
      <c r="D215" s="142">
        <v>6.0</v>
      </c>
      <c r="E215" s="28"/>
      <c r="F215" s="44"/>
      <c r="G215" s="139"/>
      <c r="H215" s="142"/>
      <c r="I215" s="28"/>
      <c r="J215" s="142">
        <v>6.0</v>
      </c>
      <c r="K215" s="28"/>
      <c r="L215" s="44"/>
      <c r="M215" s="139"/>
      <c r="N215" s="142"/>
      <c r="O215" s="28"/>
      <c r="P215" s="142">
        <v>11.0</v>
      </c>
      <c r="Q215" s="28"/>
      <c r="R215" s="44"/>
      <c r="S215" s="120"/>
      <c r="T215" s="120"/>
      <c r="U215" s="120"/>
      <c r="V215" s="120"/>
      <c r="W215" s="120"/>
      <c r="X215" s="120"/>
      <c r="Y215" s="120"/>
      <c r="Z215" s="120"/>
    </row>
    <row r="216">
      <c r="A216" s="139"/>
      <c r="B216" s="143">
        <v>22.0</v>
      </c>
      <c r="C216" s="143">
        <v>22.0</v>
      </c>
      <c r="D216" s="143">
        <v>22.0</v>
      </c>
      <c r="E216" s="143">
        <v>22.0</v>
      </c>
      <c r="F216" s="41"/>
      <c r="G216" s="139"/>
      <c r="H216" s="143">
        <v>22.0</v>
      </c>
      <c r="I216" s="143">
        <v>22.0</v>
      </c>
      <c r="J216" s="143">
        <v>22.0</v>
      </c>
      <c r="K216" s="143">
        <v>22.0</v>
      </c>
      <c r="L216" s="41"/>
      <c r="M216" s="139"/>
      <c r="N216" s="143">
        <v>22.0</v>
      </c>
      <c r="O216" s="143">
        <v>22.0</v>
      </c>
      <c r="P216" s="143">
        <v>28.0</v>
      </c>
      <c r="Q216" s="143">
        <v>22.0</v>
      </c>
      <c r="R216" s="41"/>
      <c r="S216" s="120"/>
      <c r="T216" s="120"/>
      <c r="U216" s="120"/>
      <c r="V216" s="120"/>
      <c r="W216" s="120"/>
      <c r="X216" s="120"/>
      <c r="Y216" s="120"/>
      <c r="Z216" s="120"/>
    </row>
    <row r="217">
      <c r="A217" s="139"/>
      <c r="B217" s="142"/>
      <c r="C217" s="28"/>
      <c r="D217" s="28"/>
      <c r="E217" s="28"/>
      <c r="F217" s="44"/>
      <c r="G217" s="139"/>
      <c r="H217" s="142"/>
      <c r="I217" s="28"/>
      <c r="J217" s="28"/>
      <c r="K217" s="28"/>
      <c r="L217" s="44"/>
      <c r="M217" s="139"/>
      <c r="N217" s="142"/>
      <c r="O217" s="28"/>
      <c r="P217" s="28"/>
      <c r="Q217" s="28"/>
      <c r="R217" s="44"/>
      <c r="S217" s="120"/>
      <c r="T217" s="120"/>
      <c r="U217" s="120"/>
      <c r="V217" s="120"/>
      <c r="W217" s="120"/>
      <c r="X217" s="120"/>
      <c r="Y217" s="120"/>
      <c r="Z217" s="120"/>
    </row>
    <row r="218">
      <c r="A218" s="139"/>
      <c r="B218" s="143">
        <v>2.0</v>
      </c>
      <c r="C218" s="143">
        <v>2.0</v>
      </c>
      <c r="D218" s="143">
        <v>2.0</v>
      </c>
      <c r="E218" s="143">
        <v>2.0</v>
      </c>
      <c r="F218" s="41"/>
      <c r="G218" s="139"/>
      <c r="H218" s="143">
        <v>2.0</v>
      </c>
      <c r="I218" s="143">
        <v>2.0</v>
      </c>
      <c r="J218" s="143">
        <v>2.0</v>
      </c>
      <c r="K218" s="143">
        <v>2.0</v>
      </c>
      <c r="L218" s="41"/>
      <c r="M218" s="139"/>
      <c r="N218" s="143">
        <v>2.0</v>
      </c>
      <c r="O218" s="143">
        <v>2.0</v>
      </c>
      <c r="P218" s="143">
        <v>2.0</v>
      </c>
      <c r="Q218" s="143">
        <v>2.0</v>
      </c>
      <c r="R218" s="41"/>
      <c r="S218" s="120"/>
      <c r="T218" s="120"/>
      <c r="U218" s="120"/>
      <c r="V218" s="120"/>
      <c r="W218" s="120"/>
      <c r="X218" s="120"/>
      <c r="Y218" s="120"/>
      <c r="Z218" s="120"/>
    </row>
    <row r="219">
      <c r="A219" s="139"/>
      <c r="B219" s="142">
        <v>1.0</v>
      </c>
      <c r="C219" s="142">
        <v>1.0</v>
      </c>
      <c r="D219" s="142">
        <v>1.0</v>
      </c>
      <c r="E219" s="142">
        <v>1.0</v>
      </c>
      <c r="F219" s="44"/>
      <c r="G219" s="139"/>
      <c r="H219" s="142">
        <v>1.0</v>
      </c>
      <c r="I219" s="142">
        <v>1.0</v>
      </c>
      <c r="J219" s="142">
        <v>1.0</v>
      </c>
      <c r="K219" s="142">
        <v>1.0</v>
      </c>
      <c r="L219" s="44"/>
      <c r="M219" s="139"/>
      <c r="N219" s="142">
        <v>1.0</v>
      </c>
      <c r="O219" s="142">
        <v>1.0</v>
      </c>
      <c r="P219" s="142">
        <v>1.0</v>
      </c>
      <c r="Q219" s="142">
        <v>1.0</v>
      </c>
      <c r="R219" s="44"/>
      <c r="S219" s="120"/>
      <c r="T219" s="120"/>
      <c r="U219" s="120"/>
      <c r="V219" s="120"/>
      <c r="W219" s="120"/>
      <c r="X219" s="120"/>
      <c r="Y219" s="120"/>
      <c r="Z219" s="120"/>
    </row>
    <row r="220">
      <c r="A220" s="139"/>
      <c r="B220" s="143">
        <v>1.0</v>
      </c>
      <c r="C220" s="143">
        <v>1.0</v>
      </c>
      <c r="D220" s="143">
        <v>1.0</v>
      </c>
      <c r="E220" s="143">
        <v>1.0</v>
      </c>
      <c r="F220" s="41"/>
      <c r="G220" s="139"/>
      <c r="H220" s="143">
        <v>1.0</v>
      </c>
      <c r="I220" s="143">
        <v>1.0</v>
      </c>
      <c r="J220" s="143">
        <v>1.0</v>
      </c>
      <c r="K220" s="143">
        <v>1.0</v>
      </c>
      <c r="L220" s="41"/>
      <c r="M220" s="139"/>
      <c r="N220" s="143">
        <v>1.0</v>
      </c>
      <c r="O220" s="143">
        <v>1.0</v>
      </c>
      <c r="P220" s="143">
        <v>1.0</v>
      </c>
      <c r="Q220" s="143">
        <v>1.0</v>
      </c>
      <c r="R220" s="41"/>
      <c r="S220" s="120"/>
      <c r="T220" s="120"/>
      <c r="U220" s="120"/>
      <c r="V220" s="120"/>
      <c r="W220" s="120"/>
      <c r="X220" s="120"/>
      <c r="Y220" s="120"/>
      <c r="Z220" s="120"/>
    </row>
    <row r="221">
      <c r="A221" s="139"/>
      <c r="B221" s="142">
        <v>3.0</v>
      </c>
      <c r="C221" s="142">
        <v>3.0</v>
      </c>
      <c r="D221" s="142">
        <v>3.0</v>
      </c>
      <c r="E221" s="142">
        <v>3.0</v>
      </c>
      <c r="F221" s="63">
        <v>1.0</v>
      </c>
      <c r="G221" s="139"/>
      <c r="H221" s="142">
        <v>3.0</v>
      </c>
      <c r="I221" s="142">
        <v>3.0</v>
      </c>
      <c r="J221" s="142">
        <v>3.0</v>
      </c>
      <c r="K221" s="142">
        <v>3.0</v>
      </c>
      <c r="L221" s="63">
        <v>1.0</v>
      </c>
      <c r="M221" s="139"/>
      <c r="N221" s="142">
        <v>3.0</v>
      </c>
      <c r="O221" s="142">
        <v>3.0</v>
      </c>
      <c r="P221" s="142">
        <v>3.0</v>
      </c>
      <c r="Q221" s="142">
        <v>3.0</v>
      </c>
      <c r="R221" s="63">
        <v>1.0</v>
      </c>
      <c r="S221" s="120"/>
      <c r="T221" s="120"/>
      <c r="U221" s="120"/>
      <c r="V221" s="120"/>
      <c r="W221" s="120"/>
      <c r="X221" s="120"/>
      <c r="Y221" s="120"/>
      <c r="Z221" s="120"/>
    </row>
    <row r="222">
      <c r="A222" s="139"/>
      <c r="B222" s="143">
        <v>3.0</v>
      </c>
      <c r="C222" s="143">
        <v>3.0</v>
      </c>
      <c r="D222" s="143">
        <v>3.0</v>
      </c>
      <c r="E222" s="143">
        <v>3.0</v>
      </c>
      <c r="F222" s="41"/>
      <c r="G222" s="139"/>
      <c r="H222" s="143">
        <v>3.0</v>
      </c>
      <c r="I222" s="143">
        <v>3.0</v>
      </c>
      <c r="J222" s="143">
        <v>3.0</v>
      </c>
      <c r="K222" s="143">
        <v>3.0</v>
      </c>
      <c r="L222" s="41"/>
      <c r="M222" s="139"/>
      <c r="N222" s="143">
        <v>3.0</v>
      </c>
      <c r="O222" s="143">
        <v>3.0</v>
      </c>
      <c r="P222" s="143">
        <v>3.0</v>
      </c>
      <c r="Q222" s="143">
        <v>3.0</v>
      </c>
      <c r="R222" s="41"/>
      <c r="S222" s="120"/>
      <c r="T222" s="120"/>
      <c r="U222" s="120"/>
      <c r="V222" s="120"/>
      <c r="W222" s="120"/>
      <c r="X222" s="120"/>
      <c r="Y222" s="120"/>
      <c r="Z222" s="120"/>
    </row>
    <row r="223">
      <c r="A223" s="139"/>
      <c r="B223" s="142"/>
      <c r="C223" s="28"/>
      <c r="D223" s="28"/>
      <c r="E223" s="28"/>
      <c r="F223" s="44"/>
      <c r="G223" s="139"/>
      <c r="H223" s="142"/>
      <c r="I223" s="28"/>
      <c r="J223" s="28"/>
      <c r="K223" s="28"/>
      <c r="L223" s="44"/>
      <c r="M223" s="139"/>
      <c r="N223" s="142"/>
      <c r="O223" s="28"/>
      <c r="P223" s="28"/>
      <c r="Q223" s="28"/>
      <c r="R223" s="44"/>
      <c r="S223" s="120"/>
      <c r="T223" s="120"/>
      <c r="U223" s="120"/>
      <c r="V223" s="120"/>
      <c r="W223" s="120"/>
      <c r="X223" s="120"/>
      <c r="Y223" s="120"/>
      <c r="Z223" s="120"/>
    </row>
    <row r="224">
      <c r="A224" s="139"/>
      <c r="B224" s="33">
        <v>4.0</v>
      </c>
      <c r="C224" s="33">
        <v>4.0</v>
      </c>
      <c r="D224" s="33">
        <v>818.0</v>
      </c>
      <c r="E224" s="33">
        <v>4.0</v>
      </c>
      <c r="F224" s="34"/>
      <c r="G224" s="139"/>
      <c r="H224" s="33">
        <v>4.0</v>
      </c>
      <c r="I224" s="33">
        <v>4.0</v>
      </c>
      <c r="J224" s="33">
        <v>893.0</v>
      </c>
      <c r="K224" s="33">
        <v>4.0</v>
      </c>
      <c r="L224" s="34"/>
      <c r="M224" s="139"/>
      <c r="N224" s="33">
        <v>4.0</v>
      </c>
      <c r="O224" s="33">
        <v>4.0</v>
      </c>
      <c r="P224" s="33">
        <v>938.0</v>
      </c>
      <c r="Q224" s="33">
        <v>4.0</v>
      </c>
      <c r="R224" s="34"/>
      <c r="S224" s="120"/>
      <c r="T224" s="120"/>
      <c r="U224" s="120"/>
      <c r="V224" s="120"/>
      <c r="W224" s="120"/>
      <c r="X224" s="120"/>
      <c r="Y224" s="120"/>
      <c r="Z224" s="120"/>
    </row>
    <row r="225">
      <c r="A225" s="120"/>
      <c r="B225" s="120"/>
      <c r="C225" s="138"/>
      <c r="D225" s="138"/>
      <c r="E225" s="138"/>
      <c r="F225" s="138"/>
      <c r="G225" s="120"/>
      <c r="H225" s="120"/>
      <c r="I225" s="138"/>
      <c r="J225" s="138"/>
      <c r="K225" s="138"/>
      <c r="L225" s="138"/>
      <c r="M225" s="120"/>
      <c r="N225" s="120"/>
      <c r="O225" s="138"/>
      <c r="P225" s="138"/>
      <c r="Q225" s="138"/>
      <c r="R225" s="138"/>
      <c r="S225" s="120"/>
      <c r="T225" s="120"/>
      <c r="U225" s="120"/>
      <c r="V225" s="120"/>
      <c r="W225" s="120"/>
      <c r="X225" s="120"/>
      <c r="Y225" s="120"/>
      <c r="Z225" s="120"/>
    </row>
    <row r="226">
      <c r="A226" s="139" t="s">
        <v>244</v>
      </c>
      <c r="B226" s="33"/>
      <c r="C226" s="33"/>
      <c r="D226" s="140">
        <v>9.0</v>
      </c>
      <c r="E226" s="33"/>
      <c r="F226" s="141">
        <v>170.0</v>
      </c>
      <c r="G226" s="139"/>
      <c r="H226" s="33"/>
      <c r="I226" s="33"/>
      <c r="J226" s="140">
        <v>15.0</v>
      </c>
      <c r="K226" s="33"/>
      <c r="L226" s="141">
        <v>180.0</v>
      </c>
      <c r="M226" s="139"/>
      <c r="N226" s="33"/>
      <c r="O226" s="33"/>
      <c r="P226" s="140">
        <v>21.0</v>
      </c>
      <c r="Q226" s="33"/>
      <c r="R226" s="141">
        <v>190.0</v>
      </c>
      <c r="S226" s="120"/>
      <c r="T226" s="120"/>
      <c r="U226" s="120"/>
      <c r="V226" s="120"/>
      <c r="W226" s="120"/>
      <c r="X226" s="120"/>
      <c r="Y226" s="120"/>
      <c r="Z226" s="120"/>
    </row>
    <row r="227">
      <c r="A227" s="139"/>
      <c r="B227" s="28"/>
      <c r="C227" s="28"/>
      <c r="D227" s="142">
        <v>7.0</v>
      </c>
      <c r="E227" s="28"/>
      <c r="F227" s="63">
        <v>13.0</v>
      </c>
      <c r="G227" s="139"/>
      <c r="H227" s="28"/>
      <c r="I227" s="28"/>
      <c r="J227" s="142">
        <v>23.0</v>
      </c>
      <c r="K227" s="28"/>
      <c r="L227" s="63">
        <v>12.0</v>
      </c>
      <c r="M227" s="139"/>
      <c r="N227" s="28"/>
      <c r="O227" s="28"/>
      <c r="P227" s="142">
        <v>30.0</v>
      </c>
      <c r="Q227" s="28"/>
      <c r="R227" s="63">
        <v>20.0</v>
      </c>
      <c r="S227" s="120"/>
      <c r="T227" s="120"/>
      <c r="U227" s="120"/>
      <c r="V227" s="120"/>
      <c r="W227" s="120"/>
      <c r="X227" s="120"/>
      <c r="Y227" s="120"/>
      <c r="Z227" s="120"/>
    </row>
    <row r="228">
      <c r="A228" s="139"/>
      <c r="B228" s="33"/>
      <c r="C228" s="33"/>
      <c r="D228" s="33"/>
      <c r="E228" s="33"/>
      <c r="F228" s="34"/>
      <c r="G228" s="139"/>
      <c r="H228" s="33"/>
      <c r="I228" s="33"/>
      <c r="J228" s="33"/>
      <c r="K228" s="33"/>
      <c r="L228" s="34"/>
      <c r="M228" s="139"/>
      <c r="N228" s="33"/>
      <c r="O228" s="33"/>
      <c r="P228" s="33"/>
      <c r="Q228" s="33"/>
      <c r="R228" s="34"/>
      <c r="S228" s="120"/>
      <c r="T228" s="120"/>
      <c r="U228" s="120"/>
      <c r="V228" s="120"/>
      <c r="W228" s="120"/>
      <c r="X228" s="120"/>
      <c r="Y228" s="120"/>
      <c r="Z228" s="120"/>
    </row>
    <row r="229">
      <c r="A229" s="139"/>
      <c r="B229" s="142">
        <v>15.0</v>
      </c>
      <c r="C229" s="142">
        <v>15.0</v>
      </c>
      <c r="D229" s="142">
        <v>29.0</v>
      </c>
      <c r="E229" s="142">
        <v>17.0</v>
      </c>
      <c r="F229" s="44"/>
      <c r="G229" s="139"/>
      <c r="H229" s="142">
        <v>15.0</v>
      </c>
      <c r="I229" s="142">
        <v>15.0</v>
      </c>
      <c r="J229" s="142">
        <v>38.0</v>
      </c>
      <c r="K229" s="142">
        <v>17.0</v>
      </c>
      <c r="L229" s="44"/>
      <c r="M229" s="139"/>
      <c r="N229" s="142">
        <v>15.0</v>
      </c>
      <c r="O229" s="142">
        <v>15.0</v>
      </c>
      <c r="P229" s="142">
        <v>47.0</v>
      </c>
      <c r="Q229" s="142">
        <v>17.0</v>
      </c>
      <c r="R229" s="44"/>
      <c r="S229" s="120"/>
      <c r="T229" s="120"/>
      <c r="U229" s="120"/>
      <c r="V229" s="120"/>
      <c r="W229" s="120"/>
      <c r="X229" s="120"/>
      <c r="Y229" s="120"/>
      <c r="Z229" s="120"/>
    </row>
    <row r="230">
      <c r="A230" s="139"/>
      <c r="B230" s="47" t="s">
        <v>243</v>
      </c>
      <c r="C230" s="47"/>
      <c r="D230" s="143">
        <v>30.0</v>
      </c>
      <c r="E230" s="47"/>
      <c r="F230" s="41"/>
      <c r="G230" s="139"/>
      <c r="H230" s="47" t="s">
        <v>243</v>
      </c>
      <c r="I230" s="47"/>
      <c r="J230" s="143">
        <v>44.0</v>
      </c>
      <c r="K230" s="47"/>
      <c r="L230" s="41"/>
      <c r="M230" s="139"/>
      <c r="N230" s="47" t="s">
        <v>243</v>
      </c>
      <c r="O230" s="47"/>
      <c r="P230" s="143">
        <v>59.0</v>
      </c>
      <c r="Q230" s="47"/>
      <c r="R230" s="41"/>
      <c r="S230" s="120"/>
      <c r="T230" s="120"/>
      <c r="U230" s="120"/>
      <c r="V230" s="120"/>
      <c r="W230" s="120"/>
      <c r="X230" s="120"/>
      <c r="Y230" s="120"/>
      <c r="Z230" s="120"/>
    </row>
    <row r="231">
      <c r="A231" s="139"/>
      <c r="B231" s="142"/>
      <c r="C231" s="28"/>
      <c r="D231" s="28"/>
      <c r="E231" s="28"/>
      <c r="F231" s="44"/>
      <c r="G231" s="139"/>
      <c r="H231" s="142"/>
      <c r="I231" s="28"/>
      <c r="J231" s="28"/>
      <c r="K231" s="28"/>
      <c r="L231" s="44"/>
      <c r="M231" s="139"/>
      <c r="N231" s="142"/>
      <c r="O231" s="28"/>
      <c r="P231" s="28"/>
      <c r="Q231" s="28"/>
      <c r="R231" s="44"/>
      <c r="S231" s="120"/>
      <c r="T231" s="120"/>
      <c r="U231" s="120"/>
      <c r="V231" s="120"/>
      <c r="W231" s="120"/>
      <c r="X231" s="120"/>
      <c r="Y231" s="120"/>
      <c r="Z231" s="120"/>
    </row>
    <row r="232">
      <c r="A232" s="139"/>
      <c r="B232" s="47"/>
      <c r="C232" s="47"/>
      <c r="D232" s="143">
        <v>10.0</v>
      </c>
      <c r="E232" s="47"/>
      <c r="F232" s="144">
        <v>7.0</v>
      </c>
      <c r="G232" s="139"/>
      <c r="H232" s="47"/>
      <c r="I232" s="47"/>
      <c r="J232" s="143">
        <v>10.0</v>
      </c>
      <c r="K232" s="47"/>
      <c r="L232" s="144">
        <v>12.0</v>
      </c>
      <c r="M232" s="139"/>
      <c r="N232" s="47"/>
      <c r="O232" s="47"/>
      <c r="P232" s="143">
        <v>40.0</v>
      </c>
      <c r="Q232" s="47"/>
      <c r="R232" s="41"/>
      <c r="S232" s="120"/>
      <c r="T232" s="120"/>
      <c r="U232" s="120"/>
      <c r="V232" s="120"/>
      <c r="W232" s="120"/>
      <c r="X232" s="120"/>
      <c r="Y232" s="120"/>
      <c r="Z232" s="120"/>
    </row>
    <row r="233">
      <c r="A233" s="139"/>
      <c r="B233" s="28"/>
      <c r="C233" s="28"/>
      <c r="D233" s="142">
        <v>8.0</v>
      </c>
      <c r="E233" s="28"/>
      <c r="F233" s="44"/>
      <c r="G233" s="139"/>
      <c r="H233" s="28"/>
      <c r="I233" s="28"/>
      <c r="J233" s="142">
        <v>8.0</v>
      </c>
      <c r="K233" s="28"/>
      <c r="L233" s="44"/>
      <c r="M233" s="139"/>
      <c r="N233" s="28"/>
      <c r="O233" s="28"/>
      <c r="P233" s="142">
        <v>8.0</v>
      </c>
      <c r="Q233" s="28"/>
      <c r="R233" s="44"/>
      <c r="S233" s="120"/>
      <c r="T233" s="120"/>
      <c r="U233" s="120"/>
      <c r="V233" s="120"/>
      <c r="W233" s="120"/>
      <c r="X233" s="120"/>
      <c r="Y233" s="120"/>
      <c r="Z233" s="120"/>
    </row>
    <row r="234">
      <c r="A234" s="139"/>
      <c r="B234" s="47"/>
      <c r="C234" s="47"/>
      <c r="D234" s="143">
        <v>6.0</v>
      </c>
      <c r="E234" s="47"/>
      <c r="F234" s="144">
        <v>14.0</v>
      </c>
      <c r="G234" s="139"/>
      <c r="H234" s="47"/>
      <c r="I234" s="47"/>
      <c r="J234" s="143">
        <v>12.0</v>
      </c>
      <c r="K234" s="47"/>
      <c r="L234" s="144">
        <v>20.0</v>
      </c>
      <c r="M234" s="139"/>
      <c r="N234" s="47"/>
      <c r="O234" s="47"/>
      <c r="P234" s="143">
        <v>15.0</v>
      </c>
      <c r="Q234" s="47"/>
      <c r="R234" s="144">
        <v>23.0</v>
      </c>
      <c r="S234" s="120"/>
      <c r="T234" s="120"/>
      <c r="U234" s="120"/>
      <c r="V234" s="120"/>
      <c r="W234" s="120"/>
      <c r="X234" s="120"/>
      <c r="Y234" s="120"/>
      <c r="Z234" s="120"/>
    </row>
    <row r="235">
      <c r="A235" s="139"/>
      <c r="B235" s="142"/>
      <c r="C235" s="28"/>
      <c r="D235" s="28"/>
      <c r="E235" s="28"/>
      <c r="F235" s="44"/>
      <c r="G235" s="139"/>
      <c r="H235" s="142"/>
      <c r="I235" s="28"/>
      <c r="J235" s="28"/>
      <c r="K235" s="28"/>
      <c r="L235" s="44"/>
      <c r="M235" s="139"/>
      <c r="N235" s="142"/>
      <c r="O235" s="28"/>
      <c r="P235" s="28"/>
      <c r="Q235" s="28"/>
      <c r="R235" s="44"/>
      <c r="S235" s="120"/>
      <c r="T235" s="120"/>
      <c r="U235" s="120"/>
      <c r="V235" s="120"/>
      <c r="W235" s="120"/>
      <c r="X235" s="120"/>
      <c r="Y235" s="120"/>
      <c r="Z235" s="120"/>
    </row>
    <row r="236">
      <c r="A236" s="139"/>
      <c r="B236" s="33"/>
      <c r="C236" s="33"/>
      <c r="D236" s="33"/>
      <c r="E236" s="33"/>
      <c r="F236" s="34"/>
      <c r="G236" s="139"/>
      <c r="H236" s="33"/>
      <c r="I236" s="33"/>
      <c r="J236" s="33"/>
      <c r="K236" s="33"/>
      <c r="L236" s="34"/>
      <c r="M236" s="139"/>
      <c r="N236" s="33"/>
      <c r="O236" s="33"/>
      <c r="P236" s="33"/>
      <c r="Q236" s="33"/>
      <c r="R236" s="34"/>
      <c r="S236" s="120"/>
      <c r="T236" s="120"/>
      <c r="U236" s="120"/>
      <c r="V236" s="120"/>
      <c r="W236" s="120"/>
      <c r="X236" s="120"/>
      <c r="Y236" s="120"/>
      <c r="Z236" s="120"/>
    </row>
    <row r="237">
      <c r="A237" s="139"/>
      <c r="B237" s="142"/>
      <c r="C237" s="28"/>
      <c r="D237" s="142">
        <v>15.0</v>
      </c>
      <c r="E237" s="28"/>
      <c r="F237" s="63">
        <v>9.0</v>
      </c>
      <c r="G237" s="139"/>
      <c r="H237" s="142"/>
      <c r="I237" s="28"/>
      <c r="J237" s="142">
        <v>19.0</v>
      </c>
      <c r="K237" s="28"/>
      <c r="L237" s="63">
        <v>13.0</v>
      </c>
      <c r="M237" s="139"/>
      <c r="N237" s="142"/>
      <c r="O237" s="28"/>
      <c r="P237" s="142">
        <v>25.0</v>
      </c>
      <c r="Q237" s="28"/>
      <c r="R237" s="63">
        <v>15.0</v>
      </c>
      <c r="S237" s="120"/>
      <c r="T237" s="120"/>
      <c r="U237" s="120"/>
      <c r="V237" s="120"/>
      <c r="W237" s="120"/>
      <c r="X237" s="120"/>
      <c r="Y237" s="120"/>
      <c r="Z237" s="120"/>
    </row>
    <row r="238">
      <c r="A238" s="139"/>
      <c r="B238" s="47"/>
      <c r="C238" s="47"/>
      <c r="D238" s="143">
        <v>9.0</v>
      </c>
      <c r="E238" s="47"/>
      <c r="F238" s="41"/>
      <c r="G238" s="139"/>
      <c r="H238" s="47"/>
      <c r="I238" s="47"/>
      <c r="J238" s="143">
        <v>15.0</v>
      </c>
      <c r="K238" s="47"/>
      <c r="L238" s="41"/>
      <c r="M238" s="139"/>
      <c r="N238" s="47"/>
      <c r="O238" s="47"/>
      <c r="P238" s="143">
        <v>21.0</v>
      </c>
      <c r="Q238" s="47"/>
      <c r="R238" s="41"/>
      <c r="S238" s="120"/>
      <c r="T238" s="120"/>
      <c r="U238" s="120"/>
      <c r="V238" s="120"/>
      <c r="W238" s="120"/>
      <c r="X238" s="120"/>
      <c r="Y238" s="120"/>
      <c r="Z238" s="120"/>
    </row>
    <row r="239">
      <c r="A239" s="139"/>
      <c r="B239" s="142"/>
      <c r="C239" s="28"/>
      <c r="D239" s="142">
        <v>6.0</v>
      </c>
      <c r="E239" s="28"/>
      <c r="F239" s="44"/>
      <c r="G239" s="139"/>
      <c r="H239" s="142"/>
      <c r="I239" s="28"/>
      <c r="J239" s="142">
        <v>6.0</v>
      </c>
      <c r="K239" s="28"/>
      <c r="L239" s="44"/>
      <c r="M239" s="139"/>
      <c r="N239" s="142"/>
      <c r="O239" s="28"/>
      <c r="P239" s="142">
        <v>11.0</v>
      </c>
      <c r="Q239" s="28"/>
      <c r="R239" s="44"/>
      <c r="S239" s="120"/>
      <c r="T239" s="120"/>
      <c r="U239" s="120"/>
      <c r="V239" s="120"/>
      <c r="W239" s="120"/>
      <c r="X239" s="120"/>
      <c r="Y239" s="120"/>
      <c r="Z239" s="120"/>
    </row>
    <row r="240">
      <c r="A240" s="139"/>
      <c r="B240" s="143">
        <v>22.0</v>
      </c>
      <c r="C240" s="143">
        <v>22.0</v>
      </c>
      <c r="D240" s="143">
        <v>22.0</v>
      </c>
      <c r="E240" s="143">
        <v>22.0</v>
      </c>
      <c r="F240" s="41"/>
      <c r="G240" s="139"/>
      <c r="H240" s="143">
        <v>22.0</v>
      </c>
      <c r="I240" s="143">
        <v>22.0</v>
      </c>
      <c r="J240" s="143">
        <v>22.0</v>
      </c>
      <c r="K240" s="143">
        <v>22.0</v>
      </c>
      <c r="L240" s="41"/>
      <c r="M240" s="139"/>
      <c r="N240" s="143">
        <v>22.0</v>
      </c>
      <c r="O240" s="143">
        <v>22.0</v>
      </c>
      <c r="P240" s="143">
        <v>28.0</v>
      </c>
      <c r="Q240" s="143">
        <v>22.0</v>
      </c>
      <c r="R240" s="41"/>
      <c r="S240" s="120"/>
      <c r="T240" s="120"/>
      <c r="U240" s="120"/>
      <c r="V240" s="120"/>
      <c r="W240" s="120"/>
      <c r="X240" s="120"/>
      <c r="Y240" s="120"/>
      <c r="Z240" s="120"/>
    </row>
    <row r="241">
      <c r="A241" s="139"/>
      <c r="B241" s="142"/>
      <c r="C241" s="28"/>
      <c r="D241" s="28"/>
      <c r="E241" s="28"/>
      <c r="F241" s="44"/>
      <c r="G241" s="139"/>
      <c r="H241" s="142"/>
      <c r="I241" s="28"/>
      <c r="J241" s="28"/>
      <c r="K241" s="28"/>
      <c r="L241" s="44"/>
      <c r="M241" s="139"/>
      <c r="N241" s="142"/>
      <c r="O241" s="28"/>
      <c r="P241" s="28"/>
      <c r="Q241" s="28"/>
      <c r="R241" s="44"/>
      <c r="S241" s="120"/>
      <c r="T241" s="120"/>
      <c r="U241" s="120"/>
      <c r="V241" s="120"/>
      <c r="W241" s="120"/>
      <c r="X241" s="120"/>
      <c r="Y241" s="120"/>
      <c r="Z241" s="120"/>
    </row>
    <row r="242">
      <c r="A242" s="139"/>
      <c r="B242" s="143">
        <v>2.0</v>
      </c>
      <c r="C242" s="143">
        <v>2.0</v>
      </c>
      <c r="D242" s="143">
        <v>2.0</v>
      </c>
      <c r="E242" s="143">
        <v>2.0</v>
      </c>
      <c r="F242" s="41"/>
      <c r="G242" s="139"/>
      <c r="H242" s="143">
        <v>2.0</v>
      </c>
      <c r="I242" s="143">
        <v>2.0</v>
      </c>
      <c r="J242" s="143">
        <v>2.0</v>
      </c>
      <c r="K242" s="143">
        <v>2.0</v>
      </c>
      <c r="L242" s="41"/>
      <c r="M242" s="139"/>
      <c r="N242" s="143">
        <v>2.0</v>
      </c>
      <c r="O242" s="143">
        <v>2.0</v>
      </c>
      <c r="P242" s="143">
        <v>2.0</v>
      </c>
      <c r="Q242" s="143">
        <v>2.0</v>
      </c>
      <c r="R242" s="41"/>
      <c r="S242" s="120"/>
      <c r="T242" s="120"/>
      <c r="U242" s="120"/>
      <c r="V242" s="120"/>
      <c r="W242" s="120"/>
      <c r="X242" s="120"/>
      <c r="Y242" s="120"/>
      <c r="Z242" s="120"/>
    </row>
    <row r="243">
      <c r="A243" s="139"/>
      <c r="B243" s="142">
        <v>1.0</v>
      </c>
      <c r="C243" s="142">
        <v>1.0</v>
      </c>
      <c r="D243" s="142">
        <v>1.0</v>
      </c>
      <c r="E243" s="142">
        <v>1.0</v>
      </c>
      <c r="F243" s="44"/>
      <c r="G243" s="139"/>
      <c r="H243" s="142">
        <v>1.0</v>
      </c>
      <c r="I243" s="142">
        <v>1.0</v>
      </c>
      <c r="J243" s="142">
        <v>1.0</v>
      </c>
      <c r="K243" s="142">
        <v>1.0</v>
      </c>
      <c r="L243" s="44"/>
      <c r="M243" s="139"/>
      <c r="N243" s="142">
        <v>1.0</v>
      </c>
      <c r="O243" s="142">
        <v>1.0</v>
      </c>
      <c r="P243" s="142">
        <v>1.0</v>
      </c>
      <c r="Q243" s="142">
        <v>1.0</v>
      </c>
      <c r="R243" s="44"/>
      <c r="S243" s="120"/>
      <c r="T243" s="120"/>
      <c r="U243" s="120"/>
      <c r="V243" s="120"/>
      <c r="W243" s="120"/>
      <c r="X243" s="120"/>
      <c r="Y243" s="120"/>
      <c r="Z243" s="120"/>
    </row>
    <row r="244">
      <c r="A244" s="139"/>
      <c r="B244" s="143">
        <v>1.0</v>
      </c>
      <c r="C244" s="143">
        <v>1.0</v>
      </c>
      <c r="D244" s="143">
        <v>1.0</v>
      </c>
      <c r="E244" s="143">
        <v>1.0</v>
      </c>
      <c r="F244" s="41"/>
      <c r="G244" s="139"/>
      <c r="H244" s="143">
        <v>1.0</v>
      </c>
      <c r="I244" s="143">
        <v>1.0</v>
      </c>
      <c r="J244" s="143">
        <v>1.0</v>
      </c>
      <c r="K244" s="143">
        <v>1.0</v>
      </c>
      <c r="L244" s="41"/>
      <c r="M244" s="139"/>
      <c r="N244" s="143">
        <v>1.0</v>
      </c>
      <c r="O244" s="143">
        <v>1.0</v>
      </c>
      <c r="P244" s="143">
        <v>1.0</v>
      </c>
      <c r="Q244" s="143">
        <v>1.0</v>
      </c>
      <c r="R244" s="41"/>
      <c r="S244" s="120"/>
      <c r="T244" s="120"/>
      <c r="U244" s="120"/>
      <c r="V244" s="120"/>
      <c r="W244" s="120"/>
      <c r="X244" s="120"/>
      <c r="Y244" s="120"/>
      <c r="Z244" s="120"/>
    </row>
    <row r="245">
      <c r="A245" s="139"/>
      <c r="B245" s="142">
        <v>3.0</v>
      </c>
      <c r="C245" s="142">
        <v>3.0</v>
      </c>
      <c r="D245" s="142">
        <v>3.0</v>
      </c>
      <c r="E245" s="142">
        <v>3.0</v>
      </c>
      <c r="F245" s="63">
        <v>1.0</v>
      </c>
      <c r="G245" s="139"/>
      <c r="H245" s="142">
        <v>3.0</v>
      </c>
      <c r="I245" s="142">
        <v>3.0</v>
      </c>
      <c r="J245" s="142">
        <v>3.0</v>
      </c>
      <c r="K245" s="142">
        <v>3.0</v>
      </c>
      <c r="L245" s="63">
        <v>1.0</v>
      </c>
      <c r="M245" s="139"/>
      <c r="N245" s="142">
        <v>3.0</v>
      </c>
      <c r="O245" s="142">
        <v>3.0</v>
      </c>
      <c r="P245" s="142">
        <v>3.0</v>
      </c>
      <c r="Q245" s="142">
        <v>3.0</v>
      </c>
      <c r="R245" s="63">
        <v>1.0</v>
      </c>
      <c r="S245" s="120"/>
      <c r="T245" s="120"/>
      <c r="U245" s="120"/>
      <c r="V245" s="120"/>
      <c r="W245" s="120"/>
      <c r="X245" s="120"/>
      <c r="Y245" s="120"/>
      <c r="Z245" s="120"/>
    </row>
    <row r="246">
      <c r="A246" s="139"/>
      <c r="B246" s="143">
        <v>3.0</v>
      </c>
      <c r="C246" s="143">
        <v>3.0</v>
      </c>
      <c r="D246" s="143">
        <v>3.0</v>
      </c>
      <c r="E246" s="143">
        <v>3.0</v>
      </c>
      <c r="F246" s="41"/>
      <c r="G246" s="139"/>
      <c r="H246" s="143">
        <v>3.0</v>
      </c>
      <c r="I246" s="143">
        <v>3.0</v>
      </c>
      <c r="J246" s="143">
        <v>3.0</v>
      </c>
      <c r="K246" s="143">
        <v>3.0</v>
      </c>
      <c r="L246" s="41"/>
      <c r="M246" s="139"/>
      <c r="N246" s="143">
        <v>3.0</v>
      </c>
      <c r="O246" s="143">
        <v>3.0</v>
      </c>
      <c r="P246" s="143">
        <v>3.0</v>
      </c>
      <c r="Q246" s="143">
        <v>3.0</v>
      </c>
      <c r="R246" s="41"/>
      <c r="S246" s="120"/>
      <c r="T246" s="120"/>
      <c r="U246" s="120"/>
      <c r="V246" s="120"/>
      <c r="W246" s="120"/>
      <c r="X246" s="120"/>
      <c r="Y246" s="120"/>
      <c r="Z246" s="120"/>
    </row>
    <row r="247">
      <c r="A247" s="139"/>
      <c r="B247" s="142"/>
      <c r="C247" s="28"/>
      <c r="D247" s="28"/>
      <c r="E247" s="28"/>
      <c r="F247" s="44"/>
      <c r="G247" s="139"/>
      <c r="H247" s="142"/>
      <c r="I247" s="28"/>
      <c r="J247" s="28"/>
      <c r="K247" s="28"/>
      <c r="L247" s="44"/>
      <c r="M247" s="139"/>
      <c r="N247" s="142"/>
      <c r="O247" s="28"/>
      <c r="P247" s="28"/>
      <c r="Q247" s="28"/>
      <c r="R247" s="44"/>
      <c r="S247" s="120"/>
      <c r="T247" s="120"/>
      <c r="U247" s="120"/>
      <c r="V247" s="120"/>
      <c r="W247" s="120"/>
      <c r="X247" s="120"/>
      <c r="Y247" s="120"/>
      <c r="Z247" s="120"/>
    </row>
    <row r="248">
      <c r="A248" s="139"/>
      <c r="B248" s="33">
        <v>4.0</v>
      </c>
      <c r="C248" s="33">
        <v>4.0</v>
      </c>
      <c r="D248" s="33">
        <v>818.0</v>
      </c>
      <c r="E248" s="33">
        <v>4.0</v>
      </c>
      <c r="F248" s="34"/>
      <c r="G248" s="139"/>
      <c r="H248" s="33">
        <v>4.0</v>
      </c>
      <c r="I248" s="33">
        <v>4.0</v>
      </c>
      <c r="J248" s="33">
        <v>893.0</v>
      </c>
      <c r="K248" s="33">
        <v>4.0</v>
      </c>
      <c r="L248" s="34"/>
      <c r="M248" s="139"/>
      <c r="N248" s="33">
        <v>4.0</v>
      </c>
      <c r="O248" s="33">
        <v>4.0</v>
      </c>
      <c r="P248" s="33">
        <v>938.0</v>
      </c>
      <c r="Q248" s="33">
        <v>4.0</v>
      </c>
      <c r="R248" s="34"/>
      <c r="S248" s="120"/>
      <c r="T248" s="120"/>
      <c r="U248" s="120"/>
      <c r="V248" s="120"/>
      <c r="W248" s="120"/>
      <c r="X248" s="120"/>
      <c r="Y248" s="120"/>
      <c r="Z248" s="120"/>
    </row>
    <row r="249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>
      <c r="A250" s="120"/>
      <c r="B250" s="120" t="s">
        <v>237</v>
      </c>
      <c r="C250" s="138"/>
      <c r="D250" s="138"/>
      <c r="E250" s="138"/>
      <c r="F250" s="138"/>
      <c r="G250" s="120"/>
      <c r="H250" s="120" t="s">
        <v>238</v>
      </c>
      <c r="I250" s="138"/>
      <c r="J250" s="138"/>
      <c r="K250" s="138"/>
      <c r="L250" s="138"/>
      <c r="M250" s="120"/>
      <c r="N250" s="120" t="s">
        <v>239</v>
      </c>
      <c r="O250" s="138"/>
      <c r="P250" s="138"/>
      <c r="Q250" s="138"/>
      <c r="R250" s="138"/>
      <c r="S250" s="120"/>
      <c r="T250" s="120"/>
      <c r="U250" s="120"/>
      <c r="V250" s="120"/>
      <c r="W250" s="120"/>
      <c r="X250" s="120"/>
      <c r="Y250" s="120"/>
      <c r="Z250" s="120"/>
    </row>
    <row r="251">
      <c r="A251" s="139" t="s">
        <v>245</v>
      </c>
      <c r="B251" s="33">
        <v>9.0</v>
      </c>
      <c r="C251" s="33"/>
      <c r="D251" s="33"/>
      <c r="E251" s="33"/>
      <c r="F251" s="141">
        <v>126.0</v>
      </c>
      <c r="G251" s="139"/>
      <c r="H251" s="33">
        <v>15.0</v>
      </c>
      <c r="I251" s="33"/>
      <c r="J251" s="33"/>
      <c r="K251" s="33"/>
      <c r="L251" s="141">
        <v>136.0</v>
      </c>
      <c r="M251" s="139"/>
      <c r="N251" s="33">
        <v>21.0</v>
      </c>
      <c r="O251" s="33"/>
      <c r="P251" s="33"/>
      <c r="Q251" s="33"/>
      <c r="R251" s="141">
        <v>146.0</v>
      </c>
      <c r="S251" s="120"/>
      <c r="T251" s="120"/>
      <c r="U251" s="120"/>
      <c r="V251" s="120"/>
      <c r="W251" s="120"/>
      <c r="X251" s="120"/>
      <c r="Y251" s="120"/>
      <c r="Z251" s="120"/>
    </row>
    <row r="252">
      <c r="A252" s="139"/>
      <c r="B252" s="28"/>
      <c r="C252" s="28"/>
      <c r="D252" s="28"/>
      <c r="E252" s="28"/>
      <c r="F252" s="44"/>
      <c r="G252" s="139"/>
      <c r="H252" s="28"/>
      <c r="I252" s="28"/>
      <c r="J252" s="28"/>
      <c r="K252" s="28"/>
      <c r="L252" s="44"/>
      <c r="M252" s="139"/>
      <c r="N252" s="28"/>
      <c r="O252" s="28"/>
      <c r="P252" s="28"/>
      <c r="Q252" s="28"/>
      <c r="R252" s="44"/>
      <c r="S252" s="120"/>
      <c r="T252" s="120"/>
      <c r="U252" s="120"/>
      <c r="V252" s="120"/>
      <c r="W252" s="120"/>
      <c r="X252" s="120"/>
      <c r="Y252" s="120"/>
      <c r="Z252" s="120"/>
    </row>
    <row r="253">
      <c r="A253" s="139"/>
      <c r="B253" s="33"/>
      <c r="C253" s="33"/>
      <c r="D253" s="33"/>
      <c r="E253" s="33"/>
      <c r="F253" s="34"/>
      <c r="G253" s="139"/>
      <c r="H253" s="33"/>
      <c r="I253" s="33"/>
      <c r="J253" s="33"/>
      <c r="K253" s="33"/>
      <c r="L253" s="34"/>
      <c r="M253" s="139"/>
      <c r="N253" s="33"/>
      <c r="O253" s="33"/>
      <c r="P253" s="33"/>
      <c r="Q253" s="33"/>
      <c r="R253" s="34"/>
      <c r="S253" s="120"/>
      <c r="T253" s="120"/>
      <c r="U253" s="120"/>
      <c r="V253" s="120"/>
      <c r="W253" s="120"/>
      <c r="X253" s="120"/>
      <c r="Y253" s="120"/>
      <c r="Z253" s="120"/>
    </row>
    <row r="254">
      <c r="A254" s="139"/>
      <c r="B254" s="142">
        <v>17.0</v>
      </c>
      <c r="C254" s="142">
        <v>29.0</v>
      </c>
      <c r="D254" s="142">
        <v>15.0</v>
      </c>
      <c r="E254" s="142">
        <v>15.0</v>
      </c>
      <c r="F254" s="44"/>
      <c r="G254" s="139"/>
      <c r="H254" s="142">
        <v>17.0</v>
      </c>
      <c r="I254" s="142">
        <v>28.0</v>
      </c>
      <c r="J254" s="142">
        <v>15.0</v>
      </c>
      <c r="K254" s="142">
        <v>15.0</v>
      </c>
      <c r="L254" s="44"/>
      <c r="M254" s="139"/>
      <c r="N254" s="142">
        <v>17.0</v>
      </c>
      <c r="O254" s="142">
        <v>47.0</v>
      </c>
      <c r="P254" s="142">
        <v>15.0</v>
      </c>
      <c r="Q254" s="142">
        <v>15.0</v>
      </c>
      <c r="R254" s="44"/>
      <c r="S254" s="120"/>
      <c r="T254" s="120"/>
      <c r="U254" s="120"/>
      <c r="V254" s="120"/>
      <c r="W254" s="120"/>
      <c r="X254" s="120"/>
      <c r="Y254" s="120"/>
      <c r="Z254" s="120"/>
    </row>
    <row r="255">
      <c r="A255" s="139"/>
      <c r="B255" s="143">
        <v>21.0</v>
      </c>
      <c r="C255" s="143">
        <v>8.0</v>
      </c>
      <c r="D255" s="47"/>
      <c r="E255" s="47"/>
      <c r="F255" s="41"/>
      <c r="G255" s="139"/>
      <c r="H255" s="143">
        <v>27.0</v>
      </c>
      <c r="I255" s="143">
        <v>8.0</v>
      </c>
      <c r="J255" s="47"/>
      <c r="K255" s="47"/>
      <c r="L255" s="41"/>
      <c r="M255" s="139"/>
      <c r="N255" s="143">
        <v>33.0</v>
      </c>
      <c r="O255" s="143">
        <v>8.0</v>
      </c>
      <c r="P255" s="47"/>
      <c r="Q255" s="47"/>
      <c r="R255" s="41"/>
      <c r="S255" s="120"/>
      <c r="T255" s="120"/>
      <c r="U255" s="120"/>
      <c r="V255" s="120"/>
      <c r="W255" s="120"/>
      <c r="X255" s="120"/>
      <c r="Y255" s="120"/>
      <c r="Z255" s="120"/>
    </row>
    <row r="256">
      <c r="A256" s="139"/>
      <c r="B256" s="142">
        <v>9.0</v>
      </c>
      <c r="C256" s="142">
        <v>9.0</v>
      </c>
      <c r="D256" s="28"/>
      <c r="E256" s="28"/>
      <c r="F256" s="44"/>
      <c r="G256" s="139"/>
      <c r="H256" s="142">
        <v>9.0</v>
      </c>
      <c r="I256" s="142">
        <v>15.0</v>
      </c>
      <c r="J256" s="28"/>
      <c r="K256" s="28"/>
      <c r="L256" s="44"/>
      <c r="M256" s="139"/>
      <c r="N256" s="142">
        <v>9.0</v>
      </c>
      <c r="O256" s="142">
        <v>21.0</v>
      </c>
      <c r="P256" s="28"/>
      <c r="Q256" s="28"/>
      <c r="R256" s="44"/>
      <c r="S256" s="120"/>
      <c r="T256" s="120"/>
      <c r="U256" s="120"/>
      <c r="V256" s="120"/>
      <c r="W256" s="120"/>
      <c r="X256" s="120"/>
      <c r="Y256" s="120"/>
      <c r="Z256" s="120"/>
    </row>
    <row r="257">
      <c r="A257" s="139"/>
      <c r="B257" s="47"/>
      <c r="C257" s="47"/>
      <c r="D257" s="47"/>
      <c r="E257" s="47"/>
      <c r="F257" s="144">
        <v>11.0</v>
      </c>
      <c r="G257" s="139"/>
      <c r="H257" s="47"/>
      <c r="I257" s="47"/>
      <c r="J257" s="47"/>
      <c r="K257" s="47"/>
      <c r="L257" s="144">
        <v>15.0</v>
      </c>
      <c r="M257" s="139"/>
      <c r="N257" s="47"/>
      <c r="O257" s="47"/>
      <c r="P257" s="47"/>
      <c r="Q257" s="47"/>
      <c r="R257" s="144">
        <v>19.0</v>
      </c>
      <c r="S257" s="120"/>
      <c r="T257" s="120"/>
      <c r="U257" s="120"/>
      <c r="V257" s="120"/>
      <c r="W257" s="120"/>
      <c r="X257" s="120"/>
      <c r="Y257" s="120"/>
      <c r="Z257" s="120"/>
    </row>
    <row r="258">
      <c r="A258" s="139"/>
      <c r="B258" s="28"/>
      <c r="C258" s="28"/>
      <c r="D258" s="28"/>
      <c r="E258" s="28"/>
      <c r="F258" s="63">
        <v>9.0</v>
      </c>
      <c r="G258" s="139"/>
      <c r="H258" s="28"/>
      <c r="I258" s="28"/>
      <c r="J258" s="28"/>
      <c r="K258" s="28"/>
      <c r="L258" s="63">
        <v>13.0</v>
      </c>
      <c r="M258" s="139"/>
      <c r="N258" s="28"/>
      <c r="O258" s="28"/>
      <c r="P258" s="28"/>
      <c r="Q258" s="28"/>
      <c r="R258" s="63">
        <v>17.0</v>
      </c>
      <c r="S258" s="120"/>
      <c r="T258" s="120"/>
      <c r="U258" s="120"/>
      <c r="V258" s="120"/>
      <c r="W258" s="120"/>
      <c r="X258" s="120"/>
      <c r="Y258" s="120"/>
      <c r="Z258" s="120"/>
    </row>
    <row r="259">
      <c r="A259" s="139"/>
      <c r="B259" s="47"/>
      <c r="C259" s="47"/>
      <c r="D259" s="47"/>
      <c r="E259" s="47"/>
      <c r="F259" s="144">
        <v>15.0</v>
      </c>
      <c r="G259" s="139"/>
      <c r="H259" s="47"/>
      <c r="I259" s="47"/>
      <c r="J259" s="47"/>
      <c r="K259" s="47"/>
      <c r="L259" s="144">
        <v>17.0</v>
      </c>
      <c r="M259" s="139"/>
      <c r="N259" s="47"/>
      <c r="O259" s="47"/>
      <c r="P259" s="47"/>
      <c r="Q259" s="47"/>
      <c r="R259" s="144">
        <v>22.0</v>
      </c>
      <c r="S259" s="120"/>
      <c r="T259" s="120"/>
      <c r="U259" s="120"/>
      <c r="V259" s="120"/>
      <c r="W259" s="120"/>
      <c r="X259" s="120"/>
      <c r="Y259" s="120"/>
      <c r="Z259" s="120"/>
    </row>
    <row r="260">
      <c r="A260" s="139"/>
      <c r="B260" s="142"/>
      <c r="C260" s="28"/>
      <c r="D260" s="28"/>
      <c r="E260" s="28"/>
      <c r="F260" s="44"/>
      <c r="G260" s="139"/>
      <c r="H260" s="142"/>
      <c r="I260" s="28"/>
      <c r="J260" s="28"/>
      <c r="K260" s="28"/>
      <c r="L260" s="44"/>
      <c r="M260" s="139"/>
      <c r="N260" s="142"/>
      <c r="O260" s="28"/>
      <c r="P260" s="28"/>
      <c r="Q260" s="28"/>
      <c r="R260" s="44"/>
      <c r="S260" s="120"/>
      <c r="T260" s="120"/>
      <c r="U260" s="120"/>
      <c r="V260" s="120"/>
      <c r="W260" s="120"/>
      <c r="X260" s="120"/>
      <c r="Y260" s="120"/>
      <c r="Z260" s="120"/>
    </row>
    <row r="261">
      <c r="A261" s="139"/>
      <c r="B261" s="33"/>
      <c r="C261" s="33"/>
      <c r="D261" s="33"/>
      <c r="E261" s="33"/>
      <c r="F261" s="34"/>
      <c r="G261" s="139"/>
      <c r="H261" s="33"/>
      <c r="I261" s="33"/>
      <c r="J261" s="33"/>
      <c r="K261" s="33"/>
      <c r="L261" s="34"/>
      <c r="M261" s="139"/>
      <c r="N261" s="33"/>
      <c r="O261" s="33"/>
      <c r="P261" s="33"/>
      <c r="Q261" s="33"/>
      <c r="R261" s="34"/>
      <c r="S261" s="120"/>
      <c r="T261" s="120"/>
      <c r="U261" s="120"/>
      <c r="V261" s="120"/>
      <c r="W261" s="120"/>
      <c r="X261" s="120"/>
      <c r="Y261" s="120"/>
      <c r="Z261" s="120"/>
    </row>
    <row r="262">
      <c r="A262" s="139"/>
      <c r="B262" s="142"/>
      <c r="C262" s="142">
        <v>10.0</v>
      </c>
      <c r="D262" s="28"/>
      <c r="E262" s="28"/>
      <c r="F262" s="44"/>
      <c r="G262" s="139"/>
      <c r="H262" s="142">
        <v>2.0</v>
      </c>
      <c r="I262" s="142">
        <v>12.0</v>
      </c>
      <c r="J262" s="142">
        <v>2.0</v>
      </c>
      <c r="K262" s="142">
        <v>2.0</v>
      </c>
      <c r="L262" s="44"/>
      <c r="M262" s="139"/>
      <c r="N262" s="142">
        <v>2.0</v>
      </c>
      <c r="O262" s="142">
        <v>15.0</v>
      </c>
      <c r="P262" s="142">
        <v>2.0</v>
      </c>
      <c r="Q262" s="142">
        <v>2.0</v>
      </c>
      <c r="R262" s="44"/>
      <c r="S262" s="120"/>
      <c r="T262" s="120"/>
      <c r="U262" s="120"/>
      <c r="V262" s="120"/>
      <c r="W262" s="120"/>
      <c r="X262" s="120"/>
      <c r="Y262" s="120"/>
      <c r="Z262" s="120"/>
    </row>
    <row r="263">
      <c r="A263" s="139"/>
      <c r="B263" s="47"/>
      <c r="C263" s="143">
        <v>1.0</v>
      </c>
      <c r="D263" s="47"/>
      <c r="E263" s="47"/>
      <c r="F263" s="41"/>
      <c r="G263" s="139"/>
      <c r="H263" s="47"/>
      <c r="I263" s="143">
        <v>3.0</v>
      </c>
      <c r="J263" s="47"/>
      <c r="K263" s="47"/>
      <c r="L263" s="41"/>
      <c r="M263" s="139"/>
      <c r="N263" s="143">
        <v>8.0</v>
      </c>
      <c r="O263" s="47"/>
      <c r="P263" s="47"/>
      <c r="Q263" s="47"/>
      <c r="R263" s="41"/>
      <c r="S263" s="120"/>
      <c r="T263" s="120"/>
      <c r="U263" s="120"/>
      <c r="V263" s="120"/>
      <c r="W263" s="120"/>
      <c r="X263" s="120"/>
      <c r="Y263" s="120"/>
      <c r="Z263" s="120"/>
    </row>
    <row r="264">
      <c r="A264" s="139"/>
      <c r="B264" s="142">
        <v>6.0</v>
      </c>
      <c r="C264" s="142">
        <v>3.0</v>
      </c>
      <c r="D264" s="28"/>
      <c r="E264" s="28"/>
      <c r="F264" s="44"/>
      <c r="G264" s="139"/>
      <c r="H264" s="142">
        <v>6.0</v>
      </c>
      <c r="I264" s="142">
        <v>5.0</v>
      </c>
      <c r="J264" s="28"/>
      <c r="K264" s="28"/>
      <c r="L264" s="44"/>
      <c r="M264" s="139"/>
      <c r="N264" s="142">
        <v>11.0</v>
      </c>
      <c r="O264" s="28"/>
      <c r="P264" s="28"/>
      <c r="Q264" s="28"/>
      <c r="R264" s="44"/>
      <c r="S264" s="120"/>
      <c r="T264" s="120"/>
      <c r="U264" s="120"/>
      <c r="V264" s="120"/>
      <c r="W264" s="120"/>
      <c r="X264" s="120"/>
      <c r="Y264" s="120"/>
      <c r="Z264" s="120"/>
    </row>
    <row r="265">
      <c r="A265" s="139"/>
      <c r="B265" s="143">
        <v>22.0</v>
      </c>
      <c r="C265" s="143">
        <v>22.0</v>
      </c>
      <c r="D265" s="143">
        <v>22.0</v>
      </c>
      <c r="E265" s="143">
        <v>22.0</v>
      </c>
      <c r="F265" s="41"/>
      <c r="G265" s="139"/>
      <c r="H265" s="143">
        <v>22.0</v>
      </c>
      <c r="I265" s="143">
        <v>22.0</v>
      </c>
      <c r="J265" s="143">
        <v>22.0</v>
      </c>
      <c r="K265" s="143">
        <v>22.0</v>
      </c>
      <c r="L265" s="41"/>
      <c r="M265" s="139"/>
      <c r="N265" s="143">
        <v>28.0</v>
      </c>
      <c r="O265" s="143">
        <v>28.0</v>
      </c>
      <c r="P265" s="143">
        <v>22.0</v>
      </c>
      <c r="Q265" s="143">
        <v>22.0</v>
      </c>
      <c r="R265" s="41"/>
      <c r="S265" s="120"/>
      <c r="T265" s="120"/>
      <c r="U265" s="120"/>
      <c r="V265" s="120"/>
      <c r="W265" s="120"/>
      <c r="X265" s="120"/>
      <c r="Y265" s="120"/>
      <c r="Z265" s="120"/>
    </row>
    <row r="266">
      <c r="A266" s="139"/>
      <c r="B266" s="142"/>
      <c r="C266" s="28"/>
      <c r="D266" s="28"/>
      <c r="E266" s="28"/>
      <c r="F266" s="44"/>
      <c r="G266" s="139"/>
      <c r="H266" s="142"/>
      <c r="I266" s="28"/>
      <c r="J266" s="28"/>
      <c r="K266" s="28"/>
      <c r="L266" s="44"/>
      <c r="M266" s="139"/>
      <c r="N266" s="142"/>
      <c r="O266" s="28"/>
      <c r="P266" s="28"/>
      <c r="Q266" s="28"/>
      <c r="R266" s="44"/>
      <c r="S266" s="120"/>
      <c r="T266" s="120"/>
      <c r="U266" s="120"/>
      <c r="V266" s="120"/>
      <c r="W266" s="120"/>
      <c r="X266" s="120"/>
      <c r="Y266" s="120"/>
      <c r="Z266" s="120"/>
    </row>
    <row r="267">
      <c r="A267" s="139"/>
      <c r="B267" s="143">
        <v>2.0</v>
      </c>
      <c r="C267" s="143">
        <v>2.0</v>
      </c>
      <c r="D267" s="143">
        <v>2.0</v>
      </c>
      <c r="E267" s="143">
        <v>2.0</v>
      </c>
      <c r="F267" s="41"/>
      <c r="G267" s="139"/>
      <c r="H267" s="143">
        <v>2.0</v>
      </c>
      <c r="I267" s="143">
        <v>2.0</v>
      </c>
      <c r="J267" s="143">
        <v>2.0</v>
      </c>
      <c r="K267" s="143">
        <v>2.0</v>
      </c>
      <c r="L267" s="41"/>
      <c r="M267" s="139"/>
      <c r="N267" s="143">
        <v>2.0</v>
      </c>
      <c r="O267" s="143">
        <v>2.0</v>
      </c>
      <c r="P267" s="143">
        <v>2.0</v>
      </c>
      <c r="Q267" s="143">
        <v>2.0</v>
      </c>
      <c r="R267" s="41"/>
      <c r="S267" s="120"/>
      <c r="T267" s="120"/>
      <c r="U267" s="120"/>
      <c r="V267" s="120"/>
      <c r="W267" s="120"/>
      <c r="X267" s="120"/>
      <c r="Y267" s="120"/>
      <c r="Z267" s="120"/>
    </row>
    <row r="268">
      <c r="A268" s="139"/>
      <c r="B268" s="142">
        <v>1.0</v>
      </c>
      <c r="C268" s="142">
        <v>1.0</v>
      </c>
      <c r="D268" s="142">
        <v>1.0</v>
      </c>
      <c r="E268" s="142">
        <v>1.0</v>
      </c>
      <c r="F268" s="44"/>
      <c r="G268" s="139"/>
      <c r="H268" s="142">
        <v>1.0</v>
      </c>
      <c r="I268" s="142">
        <v>1.0</v>
      </c>
      <c r="J268" s="142">
        <v>1.0</v>
      </c>
      <c r="K268" s="142">
        <v>1.0</v>
      </c>
      <c r="L268" s="44"/>
      <c r="M268" s="139"/>
      <c r="N268" s="142">
        <v>1.0</v>
      </c>
      <c r="O268" s="142">
        <v>1.0</v>
      </c>
      <c r="P268" s="142">
        <v>1.0</v>
      </c>
      <c r="Q268" s="142">
        <v>1.0</v>
      </c>
      <c r="R268" s="44"/>
      <c r="S268" s="120"/>
      <c r="T268" s="120"/>
      <c r="U268" s="120"/>
      <c r="V268" s="120"/>
      <c r="W268" s="120"/>
      <c r="X268" s="120"/>
      <c r="Y268" s="120"/>
      <c r="Z268" s="120"/>
    </row>
    <row r="269">
      <c r="A269" s="139"/>
      <c r="B269" s="143">
        <v>1.0</v>
      </c>
      <c r="C269" s="143">
        <v>1.0</v>
      </c>
      <c r="D269" s="143">
        <v>1.0</v>
      </c>
      <c r="E269" s="143">
        <v>1.0</v>
      </c>
      <c r="F269" s="41"/>
      <c r="G269" s="139"/>
      <c r="H269" s="143">
        <v>1.0</v>
      </c>
      <c r="I269" s="143">
        <v>1.0</v>
      </c>
      <c r="J269" s="143">
        <v>1.0</v>
      </c>
      <c r="K269" s="143">
        <v>1.0</v>
      </c>
      <c r="L269" s="41"/>
      <c r="M269" s="139"/>
      <c r="N269" s="143">
        <v>1.0</v>
      </c>
      <c r="O269" s="143">
        <v>1.0</v>
      </c>
      <c r="P269" s="143">
        <v>1.0</v>
      </c>
      <c r="Q269" s="143">
        <v>1.0</v>
      </c>
      <c r="R269" s="41"/>
      <c r="S269" s="120"/>
      <c r="T269" s="120"/>
      <c r="U269" s="120"/>
      <c r="V269" s="120"/>
      <c r="W269" s="120"/>
      <c r="X269" s="120"/>
      <c r="Y269" s="120"/>
      <c r="Z269" s="120"/>
    </row>
    <row r="270">
      <c r="A270" s="139"/>
      <c r="B270" s="142">
        <v>3.0</v>
      </c>
      <c r="C270" s="142">
        <v>3.0</v>
      </c>
      <c r="D270" s="142">
        <v>3.0</v>
      </c>
      <c r="E270" s="142">
        <v>3.0</v>
      </c>
      <c r="F270" s="63">
        <v>1.0</v>
      </c>
      <c r="G270" s="139"/>
      <c r="H270" s="142">
        <v>3.0</v>
      </c>
      <c r="I270" s="142">
        <v>3.0</v>
      </c>
      <c r="J270" s="142">
        <v>3.0</v>
      </c>
      <c r="K270" s="142">
        <v>3.0</v>
      </c>
      <c r="L270" s="63">
        <v>1.0</v>
      </c>
      <c r="M270" s="139"/>
      <c r="N270" s="142">
        <v>3.0</v>
      </c>
      <c r="O270" s="142">
        <v>3.0</v>
      </c>
      <c r="P270" s="142">
        <v>3.0</v>
      </c>
      <c r="Q270" s="142">
        <v>3.0</v>
      </c>
      <c r="R270" s="63">
        <v>1.0</v>
      </c>
      <c r="S270" s="120"/>
      <c r="T270" s="120"/>
      <c r="U270" s="120"/>
      <c r="V270" s="120"/>
      <c r="W270" s="120"/>
      <c r="X270" s="120"/>
      <c r="Y270" s="120"/>
      <c r="Z270" s="120"/>
    </row>
    <row r="271">
      <c r="A271" s="139"/>
      <c r="B271" s="143">
        <v>3.0</v>
      </c>
      <c r="C271" s="143">
        <v>3.0</v>
      </c>
      <c r="D271" s="143">
        <v>3.0</v>
      </c>
      <c r="E271" s="143">
        <v>3.0</v>
      </c>
      <c r="F271" s="41"/>
      <c r="G271" s="139"/>
      <c r="H271" s="143">
        <v>3.0</v>
      </c>
      <c r="I271" s="143">
        <v>3.0</v>
      </c>
      <c r="J271" s="143">
        <v>3.0</v>
      </c>
      <c r="K271" s="143">
        <v>3.0</v>
      </c>
      <c r="L271" s="41"/>
      <c r="M271" s="139"/>
      <c r="N271" s="143">
        <v>3.0</v>
      </c>
      <c r="O271" s="143">
        <v>3.0</v>
      </c>
      <c r="P271" s="143">
        <v>3.0</v>
      </c>
      <c r="Q271" s="143">
        <v>3.0</v>
      </c>
      <c r="R271" s="41"/>
      <c r="S271" s="120"/>
      <c r="T271" s="120"/>
      <c r="U271" s="120"/>
      <c r="V271" s="120"/>
      <c r="W271" s="120"/>
      <c r="X271" s="120"/>
      <c r="Y271" s="120"/>
      <c r="Z271" s="120"/>
    </row>
    <row r="272">
      <c r="A272" s="139"/>
      <c r="B272" s="142"/>
      <c r="C272" s="28"/>
      <c r="D272" s="28"/>
      <c r="E272" s="28"/>
      <c r="F272" s="44"/>
      <c r="G272" s="139"/>
      <c r="H272" s="142"/>
      <c r="I272" s="28"/>
      <c r="J272" s="28"/>
      <c r="K272" s="28"/>
      <c r="L272" s="44"/>
      <c r="M272" s="139"/>
      <c r="N272" s="142"/>
      <c r="O272" s="28"/>
      <c r="P272" s="28"/>
      <c r="Q272" s="28"/>
      <c r="R272" s="44"/>
      <c r="S272" s="120"/>
      <c r="T272" s="120"/>
      <c r="U272" s="120"/>
      <c r="V272" s="120"/>
      <c r="W272" s="120"/>
      <c r="X272" s="120"/>
      <c r="Y272" s="120"/>
      <c r="Z272" s="120"/>
    </row>
    <row r="273">
      <c r="A273" s="139"/>
      <c r="B273" s="33">
        <v>796.0</v>
      </c>
      <c r="C273" s="33">
        <v>26.0</v>
      </c>
      <c r="D273" s="33">
        <v>4.0</v>
      </c>
      <c r="E273" s="33">
        <v>4.0</v>
      </c>
      <c r="F273" s="34"/>
      <c r="G273" s="139"/>
      <c r="H273" s="33">
        <v>881.0</v>
      </c>
      <c r="I273" s="33">
        <v>16.0</v>
      </c>
      <c r="J273" s="33">
        <v>4.0</v>
      </c>
      <c r="K273" s="33">
        <v>4.0</v>
      </c>
      <c r="L273" s="34"/>
      <c r="M273" s="139"/>
      <c r="N273" s="33">
        <v>938.0</v>
      </c>
      <c r="O273" s="33">
        <v>4.0</v>
      </c>
      <c r="P273" s="33">
        <v>4.0</v>
      </c>
      <c r="Q273" s="33">
        <v>4.0</v>
      </c>
      <c r="R273" s="34"/>
      <c r="S273" s="120"/>
      <c r="T273" s="120"/>
      <c r="U273" s="120"/>
      <c r="V273" s="120"/>
      <c r="W273" s="120"/>
      <c r="X273" s="120"/>
      <c r="Y273" s="120"/>
      <c r="Z273" s="120"/>
    </row>
    <row r="274">
      <c r="A274" s="120"/>
      <c r="B274" s="138"/>
      <c r="C274" s="138"/>
      <c r="D274" s="138"/>
      <c r="E274" s="138"/>
      <c r="F274" s="138"/>
      <c r="G274" s="120"/>
      <c r="H274" s="138"/>
      <c r="I274" s="138"/>
      <c r="J274" s="138"/>
      <c r="K274" s="138"/>
      <c r="L274" s="138"/>
      <c r="M274" s="120"/>
      <c r="N274" s="138"/>
      <c r="O274" s="138"/>
      <c r="P274" s="138"/>
      <c r="Q274" s="138"/>
      <c r="R274" s="138"/>
      <c r="S274" s="120"/>
      <c r="T274" s="120"/>
      <c r="U274" s="120"/>
      <c r="V274" s="120"/>
      <c r="W274" s="120"/>
      <c r="X274" s="120"/>
      <c r="Y274" s="120"/>
      <c r="Z274" s="120"/>
    </row>
    <row r="275">
      <c r="A275" s="139" t="s">
        <v>246</v>
      </c>
      <c r="B275" s="33"/>
      <c r="C275" s="140">
        <v>10.0</v>
      </c>
      <c r="D275" s="33"/>
      <c r="E275" s="33"/>
      <c r="F275" s="141">
        <v>112.0</v>
      </c>
      <c r="G275" s="139"/>
      <c r="H275" s="33"/>
      <c r="I275" s="140">
        <v>12.0</v>
      </c>
      <c r="J275" s="33"/>
      <c r="K275" s="33"/>
      <c r="L275" s="141">
        <v>122.0</v>
      </c>
      <c r="M275" s="139"/>
      <c r="N275" s="33"/>
      <c r="O275" s="140">
        <v>14.0</v>
      </c>
      <c r="P275" s="33"/>
      <c r="Q275" s="33"/>
      <c r="R275" s="141">
        <v>137.0</v>
      </c>
      <c r="S275" s="120"/>
      <c r="T275" s="120"/>
      <c r="U275" s="120"/>
      <c r="V275" s="120"/>
      <c r="W275" s="120"/>
      <c r="X275" s="120"/>
      <c r="Y275" s="120"/>
      <c r="Z275" s="120"/>
    </row>
    <row r="276">
      <c r="A276" s="139"/>
      <c r="B276" s="28"/>
      <c r="C276" s="28"/>
      <c r="D276" s="28"/>
      <c r="E276" s="28"/>
      <c r="F276" s="44"/>
      <c r="G276" s="139"/>
      <c r="H276" s="28"/>
      <c r="I276" s="28"/>
      <c r="J276" s="28"/>
      <c r="K276" s="28"/>
      <c r="L276" s="44"/>
      <c r="M276" s="139"/>
      <c r="N276" s="28"/>
      <c r="O276" s="28"/>
      <c r="P276" s="28"/>
      <c r="Q276" s="28"/>
      <c r="R276" s="44"/>
      <c r="S276" s="120"/>
      <c r="T276" s="120"/>
      <c r="U276" s="120"/>
      <c r="V276" s="120"/>
      <c r="W276" s="120"/>
      <c r="X276" s="120"/>
      <c r="Y276" s="120"/>
      <c r="Z276" s="120"/>
    </row>
    <row r="277">
      <c r="A277" s="139"/>
      <c r="B277" s="33"/>
      <c r="C277" s="33"/>
      <c r="D277" s="33"/>
      <c r="E277" s="33"/>
      <c r="F277" s="34"/>
      <c r="G277" s="139"/>
      <c r="H277" s="33"/>
      <c r="I277" s="33"/>
      <c r="J277" s="33"/>
      <c r="K277" s="33"/>
      <c r="L277" s="34"/>
      <c r="M277" s="139"/>
      <c r="N277" s="33"/>
      <c r="O277" s="33"/>
      <c r="P277" s="33"/>
      <c r="Q277" s="33"/>
      <c r="R277" s="34"/>
      <c r="S277" s="120"/>
      <c r="T277" s="120"/>
      <c r="U277" s="120"/>
      <c r="V277" s="120"/>
      <c r="W277" s="120"/>
      <c r="X277" s="120"/>
      <c r="Y277" s="120"/>
      <c r="Z277" s="120"/>
    </row>
    <row r="278">
      <c r="A278" s="139"/>
      <c r="B278" s="142">
        <v>17.0</v>
      </c>
      <c r="C278" s="142">
        <v>29.0</v>
      </c>
      <c r="D278" s="142">
        <v>15.0</v>
      </c>
      <c r="E278" s="142">
        <v>15.0</v>
      </c>
      <c r="F278" s="44"/>
      <c r="G278" s="139"/>
      <c r="H278" s="142">
        <v>17.0</v>
      </c>
      <c r="I278" s="142">
        <v>38.0</v>
      </c>
      <c r="J278" s="142">
        <v>15.0</v>
      </c>
      <c r="K278" s="142">
        <v>15.0</v>
      </c>
      <c r="L278" s="44"/>
      <c r="M278" s="139"/>
      <c r="N278" s="142">
        <v>17.0</v>
      </c>
      <c r="O278" s="142">
        <v>47.0</v>
      </c>
      <c r="P278" s="142">
        <v>15.0</v>
      </c>
      <c r="Q278" s="142">
        <v>15.0</v>
      </c>
      <c r="R278" s="44"/>
      <c r="S278" s="120"/>
      <c r="T278" s="120"/>
      <c r="U278" s="120"/>
      <c r="V278" s="120"/>
      <c r="W278" s="120"/>
      <c r="X278" s="120"/>
      <c r="Y278" s="120"/>
      <c r="Z278" s="120"/>
    </row>
    <row r="279">
      <c r="A279" s="139"/>
      <c r="B279" s="143">
        <v>12.0</v>
      </c>
      <c r="C279" s="143">
        <v>30.0</v>
      </c>
      <c r="D279" s="47"/>
      <c r="E279" s="47"/>
      <c r="F279" s="41"/>
      <c r="G279" s="139"/>
      <c r="H279" s="143">
        <v>10.0</v>
      </c>
      <c r="I279" s="143">
        <v>47.0</v>
      </c>
      <c r="J279" s="47"/>
      <c r="K279" s="47"/>
      <c r="L279" s="41"/>
      <c r="M279" s="139"/>
      <c r="N279" s="143">
        <v>10.0</v>
      </c>
      <c r="O279" s="143">
        <v>62.0</v>
      </c>
      <c r="P279" s="47"/>
      <c r="Q279" s="47"/>
      <c r="R279" s="41"/>
      <c r="S279" s="120"/>
      <c r="T279" s="120"/>
      <c r="U279" s="120"/>
      <c r="V279" s="120"/>
      <c r="W279" s="120"/>
      <c r="X279" s="120"/>
      <c r="Y279" s="120"/>
      <c r="Z279" s="120"/>
    </row>
    <row r="280">
      <c r="A280" s="139"/>
      <c r="B280" s="142"/>
      <c r="C280" s="28"/>
      <c r="D280" s="28"/>
      <c r="E280" s="28"/>
      <c r="F280" s="44"/>
      <c r="G280" s="139"/>
      <c r="H280" s="142"/>
      <c r="I280" s="28"/>
      <c r="J280" s="28"/>
      <c r="K280" s="28"/>
      <c r="L280" s="44"/>
      <c r="M280" s="139"/>
      <c r="N280" s="142"/>
      <c r="O280" s="28"/>
      <c r="P280" s="28"/>
      <c r="Q280" s="28"/>
      <c r="R280" s="44"/>
      <c r="S280" s="120"/>
      <c r="T280" s="120"/>
      <c r="U280" s="120"/>
      <c r="V280" s="120"/>
      <c r="W280" s="120"/>
      <c r="X280" s="120"/>
      <c r="Y280" s="120"/>
      <c r="Z280" s="120"/>
    </row>
    <row r="281">
      <c r="A281" s="139"/>
      <c r="B281" s="47"/>
      <c r="C281" s="47"/>
      <c r="D281" s="47"/>
      <c r="E281" s="47"/>
      <c r="F281" s="144">
        <v>11.0</v>
      </c>
      <c r="G281" s="139"/>
      <c r="H281" s="47"/>
      <c r="I281" s="47"/>
      <c r="J281" s="47"/>
      <c r="K281" s="47"/>
      <c r="L281" s="144">
        <v>15.0</v>
      </c>
      <c r="M281" s="139"/>
      <c r="N281" s="47"/>
      <c r="O281" s="47"/>
      <c r="P281" s="47"/>
      <c r="Q281" s="47"/>
      <c r="R281" s="144">
        <v>19.0</v>
      </c>
      <c r="S281" s="120"/>
      <c r="T281" s="120"/>
      <c r="U281" s="120"/>
      <c r="V281" s="120"/>
      <c r="W281" s="120"/>
      <c r="X281" s="120"/>
      <c r="Y281" s="120"/>
      <c r="Z281" s="120"/>
    </row>
    <row r="282">
      <c r="A282" s="139"/>
      <c r="B282" s="28"/>
      <c r="C282" s="28"/>
      <c r="D282" s="28"/>
      <c r="E282" s="28"/>
      <c r="F282" s="63">
        <v>9.0</v>
      </c>
      <c r="G282" s="139"/>
      <c r="H282" s="28"/>
      <c r="I282" s="28"/>
      <c r="J282" s="28"/>
      <c r="K282" s="28"/>
      <c r="L282" s="63">
        <v>13.0</v>
      </c>
      <c r="M282" s="139"/>
      <c r="N282" s="28"/>
      <c r="O282" s="28"/>
      <c r="P282" s="28"/>
      <c r="Q282" s="28"/>
      <c r="R282" s="63">
        <v>17.0</v>
      </c>
      <c r="S282" s="120"/>
      <c r="T282" s="120"/>
      <c r="U282" s="120"/>
      <c r="V282" s="120"/>
      <c r="W282" s="120"/>
      <c r="X282" s="120"/>
      <c r="Y282" s="120"/>
      <c r="Z282" s="120"/>
    </row>
    <row r="283">
      <c r="A283" s="139"/>
      <c r="B283" s="47"/>
      <c r="C283" s="47"/>
      <c r="D283" s="47"/>
      <c r="E283" s="47"/>
      <c r="F283" s="144">
        <v>15.0</v>
      </c>
      <c r="G283" s="139"/>
      <c r="H283" s="47"/>
      <c r="I283" s="47"/>
      <c r="J283" s="47"/>
      <c r="K283" s="47"/>
      <c r="L283" s="144">
        <v>17.0</v>
      </c>
      <c r="M283" s="139"/>
      <c r="N283" s="47"/>
      <c r="O283" s="47"/>
      <c r="P283" s="47"/>
      <c r="Q283" s="47"/>
      <c r="R283" s="144">
        <v>22.0</v>
      </c>
      <c r="S283" s="120"/>
      <c r="T283" s="120"/>
      <c r="U283" s="120"/>
      <c r="V283" s="120"/>
      <c r="W283" s="120"/>
      <c r="X283" s="120"/>
      <c r="Y283" s="120"/>
      <c r="Z283" s="120"/>
    </row>
    <row r="284">
      <c r="A284" s="139"/>
      <c r="B284" s="142"/>
      <c r="C284" s="28"/>
      <c r="D284" s="28"/>
      <c r="E284" s="28"/>
      <c r="F284" s="44"/>
      <c r="G284" s="139"/>
      <c r="H284" s="142"/>
      <c r="I284" s="28"/>
      <c r="J284" s="28"/>
      <c r="K284" s="28"/>
      <c r="L284" s="44"/>
      <c r="M284" s="139"/>
      <c r="N284" s="142"/>
      <c r="O284" s="28"/>
      <c r="P284" s="28"/>
      <c r="Q284" s="28"/>
      <c r="R284" s="44"/>
      <c r="S284" s="120"/>
      <c r="T284" s="120"/>
      <c r="U284" s="120"/>
      <c r="V284" s="120"/>
      <c r="W284" s="120"/>
      <c r="X284" s="120"/>
      <c r="Y284" s="120"/>
      <c r="Z284" s="120"/>
    </row>
    <row r="285">
      <c r="A285" s="139"/>
      <c r="B285" s="33"/>
      <c r="C285" s="33"/>
      <c r="D285" s="33"/>
      <c r="E285" s="33"/>
      <c r="F285" s="34"/>
      <c r="G285" s="139"/>
      <c r="H285" s="33"/>
      <c r="I285" s="33"/>
      <c r="J285" s="33"/>
      <c r="K285" s="33"/>
      <c r="L285" s="34"/>
      <c r="M285" s="139"/>
      <c r="N285" s="33"/>
      <c r="O285" s="33"/>
      <c r="P285" s="33"/>
      <c r="Q285" s="33"/>
      <c r="R285" s="34"/>
      <c r="S285" s="120"/>
      <c r="T285" s="120"/>
      <c r="U285" s="120"/>
      <c r="V285" s="120"/>
      <c r="W285" s="120"/>
      <c r="X285" s="120"/>
      <c r="Y285" s="120"/>
      <c r="Z285" s="120"/>
    </row>
    <row r="286">
      <c r="A286" s="139"/>
      <c r="B286" s="142"/>
      <c r="C286" s="142">
        <v>10.0</v>
      </c>
      <c r="D286" s="28"/>
      <c r="E286" s="28"/>
      <c r="F286" s="44"/>
      <c r="G286" s="139"/>
      <c r="H286" s="142">
        <v>2.0</v>
      </c>
      <c r="I286" s="142">
        <v>12.0</v>
      </c>
      <c r="J286" s="142">
        <v>2.0</v>
      </c>
      <c r="K286" s="142">
        <v>2.0</v>
      </c>
      <c r="L286" s="44"/>
      <c r="M286" s="139"/>
      <c r="N286" s="142">
        <v>2.0</v>
      </c>
      <c r="O286" s="142">
        <v>15.0</v>
      </c>
      <c r="P286" s="142">
        <v>2.0</v>
      </c>
      <c r="Q286" s="142">
        <v>2.0</v>
      </c>
      <c r="R286" s="44"/>
      <c r="S286" s="120"/>
      <c r="T286" s="120"/>
      <c r="U286" s="120"/>
      <c r="V286" s="120"/>
      <c r="W286" s="120"/>
      <c r="X286" s="120"/>
      <c r="Y286" s="120"/>
      <c r="Z286" s="120"/>
    </row>
    <row r="287">
      <c r="A287" s="139"/>
      <c r="B287" s="47"/>
      <c r="C287" s="143">
        <v>1.0</v>
      </c>
      <c r="D287" s="47"/>
      <c r="E287" s="47"/>
      <c r="F287" s="41"/>
      <c r="G287" s="139"/>
      <c r="H287" s="47"/>
      <c r="I287" s="143">
        <v>3.0</v>
      </c>
      <c r="J287" s="47"/>
      <c r="K287" s="47"/>
      <c r="L287" s="41"/>
      <c r="M287" s="139"/>
      <c r="N287" s="47"/>
      <c r="O287" s="143">
        <v>6.0</v>
      </c>
      <c r="P287" s="47"/>
      <c r="Q287" s="47"/>
      <c r="R287" s="41"/>
      <c r="S287" s="120"/>
      <c r="T287" s="120"/>
      <c r="U287" s="120"/>
      <c r="V287" s="120"/>
      <c r="W287" s="120"/>
      <c r="X287" s="120"/>
      <c r="Y287" s="120"/>
      <c r="Z287" s="120"/>
    </row>
    <row r="288">
      <c r="A288" s="139"/>
      <c r="B288" s="142"/>
      <c r="C288" s="142">
        <v>9.0</v>
      </c>
      <c r="D288" s="28"/>
      <c r="E288" s="28"/>
      <c r="F288" s="44"/>
      <c r="G288" s="139"/>
      <c r="H288" s="142"/>
      <c r="I288" s="142">
        <v>11.0</v>
      </c>
      <c r="J288" s="28"/>
      <c r="K288" s="28"/>
      <c r="L288" s="44"/>
      <c r="M288" s="139"/>
      <c r="N288" s="142"/>
      <c r="O288" s="142">
        <v>13.0</v>
      </c>
      <c r="P288" s="28"/>
      <c r="Q288" s="28"/>
      <c r="R288" s="44"/>
      <c r="S288" s="120"/>
      <c r="T288" s="120"/>
      <c r="U288" s="120"/>
      <c r="V288" s="120"/>
      <c r="W288" s="120"/>
      <c r="X288" s="120"/>
      <c r="Y288" s="120"/>
      <c r="Z288" s="120"/>
    </row>
    <row r="289">
      <c r="A289" s="139"/>
      <c r="B289" s="143">
        <v>22.0</v>
      </c>
      <c r="C289" s="143">
        <v>22.0</v>
      </c>
      <c r="D289" s="143">
        <v>22.0</v>
      </c>
      <c r="E289" s="143">
        <v>22.0</v>
      </c>
      <c r="F289" s="41"/>
      <c r="G289" s="139"/>
      <c r="H289" s="143">
        <v>22.0</v>
      </c>
      <c r="I289" s="143">
        <v>22.0</v>
      </c>
      <c r="J289" s="143">
        <v>22.0</v>
      </c>
      <c r="K289" s="143">
        <v>22.0</v>
      </c>
      <c r="L289" s="41"/>
      <c r="M289" s="139"/>
      <c r="N289" s="143">
        <v>9.0</v>
      </c>
      <c r="O289" s="143">
        <v>9.0</v>
      </c>
      <c r="P289" s="143">
        <v>9.0</v>
      </c>
      <c r="Q289" s="143">
        <v>9.0</v>
      </c>
      <c r="R289" s="144">
        <v>6.0</v>
      </c>
      <c r="S289" s="120"/>
      <c r="T289" s="120"/>
      <c r="U289" s="120"/>
      <c r="V289" s="120"/>
      <c r="W289" s="120"/>
      <c r="X289" s="120"/>
      <c r="Y289" s="120"/>
      <c r="Z289" s="120"/>
    </row>
    <row r="290">
      <c r="A290" s="139"/>
      <c r="B290" s="142"/>
      <c r="C290" s="28"/>
      <c r="D290" s="28"/>
      <c r="E290" s="28"/>
      <c r="F290" s="44"/>
      <c r="G290" s="139"/>
      <c r="H290" s="142"/>
      <c r="I290" s="28"/>
      <c r="J290" s="28"/>
      <c r="K290" s="28"/>
      <c r="L290" s="44"/>
      <c r="M290" s="139"/>
      <c r="N290" s="142"/>
      <c r="O290" s="28"/>
      <c r="P290" s="28"/>
      <c r="Q290" s="28"/>
      <c r="R290" s="44"/>
      <c r="S290" s="120"/>
      <c r="T290" s="120"/>
      <c r="U290" s="120"/>
      <c r="V290" s="120"/>
      <c r="W290" s="120"/>
      <c r="X290" s="120"/>
      <c r="Y290" s="120"/>
      <c r="Z290" s="120"/>
    </row>
    <row r="291">
      <c r="A291" s="139"/>
      <c r="B291" s="143">
        <v>2.0</v>
      </c>
      <c r="C291" s="143">
        <v>2.0</v>
      </c>
      <c r="D291" s="143">
        <v>2.0</v>
      </c>
      <c r="E291" s="143">
        <v>2.0</v>
      </c>
      <c r="F291" s="41"/>
      <c r="G291" s="139"/>
      <c r="H291" s="143">
        <v>2.0</v>
      </c>
      <c r="I291" s="143">
        <v>2.0</v>
      </c>
      <c r="J291" s="143">
        <v>2.0</v>
      </c>
      <c r="K291" s="143">
        <v>2.0</v>
      </c>
      <c r="L291" s="41"/>
      <c r="M291" s="139"/>
      <c r="N291" s="143">
        <v>2.0</v>
      </c>
      <c r="O291" s="143">
        <v>2.0</v>
      </c>
      <c r="P291" s="143">
        <v>2.0</v>
      </c>
      <c r="Q291" s="143">
        <v>2.0</v>
      </c>
      <c r="R291" s="41"/>
      <c r="S291" s="120"/>
      <c r="T291" s="120"/>
      <c r="U291" s="120"/>
      <c r="V291" s="120"/>
      <c r="W291" s="120"/>
      <c r="X291" s="120"/>
      <c r="Y291" s="120"/>
      <c r="Z291" s="120"/>
    </row>
    <row r="292">
      <c r="A292" s="139"/>
      <c r="B292" s="142">
        <v>1.0</v>
      </c>
      <c r="C292" s="142">
        <v>1.0</v>
      </c>
      <c r="D292" s="142">
        <v>1.0</v>
      </c>
      <c r="E292" s="142">
        <v>1.0</v>
      </c>
      <c r="F292" s="44"/>
      <c r="G292" s="139"/>
      <c r="H292" s="142">
        <v>1.0</v>
      </c>
      <c r="I292" s="142">
        <v>1.0</v>
      </c>
      <c r="J292" s="142">
        <v>1.0</v>
      </c>
      <c r="K292" s="142">
        <v>1.0</v>
      </c>
      <c r="L292" s="44"/>
      <c r="M292" s="139"/>
      <c r="N292" s="142">
        <v>1.0</v>
      </c>
      <c r="O292" s="142">
        <v>1.0</v>
      </c>
      <c r="P292" s="142">
        <v>1.0</v>
      </c>
      <c r="Q292" s="142">
        <v>1.0</v>
      </c>
      <c r="R292" s="44"/>
      <c r="S292" s="120"/>
      <c r="T292" s="120"/>
      <c r="U292" s="120"/>
      <c r="V292" s="120"/>
      <c r="W292" s="120"/>
      <c r="X292" s="120"/>
      <c r="Y292" s="120"/>
      <c r="Z292" s="120"/>
    </row>
    <row r="293">
      <c r="A293" s="139"/>
      <c r="B293" s="143">
        <v>1.0</v>
      </c>
      <c r="C293" s="143">
        <v>1.0</v>
      </c>
      <c r="D293" s="143">
        <v>1.0</v>
      </c>
      <c r="E293" s="143">
        <v>1.0</v>
      </c>
      <c r="F293" s="41"/>
      <c r="G293" s="139"/>
      <c r="H293" s="143">
        <v>1.0</v>
      </c>
      <c r="I293" s="143">
        <v>1.0</v>
      </c>
      <c r="J293" s="143">
        <v>1.0</v>
      </c>
      <c r="K293" s="143">
        <v>1.0</v>
      </c>
      <c r="L293" s="41"/>
      <c r="M293" s="139"/>
      <c r="N293" s="143">
        <v>1.0</v>
      </c>
      <c r="O293" s="143">
        <v>1.0</v>
      </c>
      <c r="P293" s="143">
        <v>1.0</v>
      </c>
      <c r="Q293" s="143">
        <v>1.0</v>
      </c>
      <c r="R293" s="41"/>
      <c r="S293" s="120"/>
      <c r="T293" s="120"/>
      <c r="U293" s="120"/>
      <c r="V293" s="120"/>
      <c r="W293" s="120"/>
      <c r="X293" s="120"/>
      <c r="Y293" s="120"/>
      <c r="Z293" s="120"/>
    </row>
    <row r="294">
      <c r="A294" s="139"/>
      <c r="B294" s="142">
        <v>3.0</v>
      </c>
      <c r="C294" s="142">
        <v>3.0</v>
      </c>
      <c r="D294" s="142">
        <v>3.0</v>
      </c>
      <c r="E294" s="142">
        <v>3.0</v>
      </c>
      <c r="F294" s="63">
        <v>1.0</v>
      </c>
      <c r="G294" s="139"/>
      <c r="H294" s="142">
        <v>3.0</v>
      </c>
      <c r="I294" s="142">
        <v>3.0</v>
      </c>
      <c r="J294" s="142">
        <v>3.0</v>
      </c>
      <c r="K294" s="142">
        <v>3.0</v>
      </c>
      <c r="L294" s="63">
        <v>1.0</v>
      </c>
      <c r="M294" s="139"/>
      <c r="N294" s="142">
        <v>3.0</v>
      </c>
      <c r="O294" s="142">
        <v>3.0</v>
      </c>
      <c r="P294" s="142">
        <v>3.0</v>
      </c>
      <c r="Q294" s="142">
        <v>3.0</v>
      </c>
      <c r="R294" s="63">
        <v>1.0</v>
      </c>
      <c r="S294" s="120"/>
      <c r="T294" s="120"/>
      <c r="U294" s="120"/>
      <c r="V294" s="120"/>
      <c r="W294" s="120"/>
      <c r="X294" s="120"/>
      <c r="Y294" s="120"/>
      <c r="Z294" s="120"/>
    </row>
    <row r="295">
      <c r="A295" s="139"/>
      <c r="B295" s="143">
        <v>3.0</v>
      </c>
      <c r="C295" s="143">
        <v>3.0</v>
      </c>
      <c r="D295" s="143">
        <v>3.0</v>
      </c>
      <c r="E295" s="143">
        <v>3.0</v>
      </c>
      <c r="F295" s="41"/>
      <c r="G295" s="139"/>
      <c r="H295" s="143">
        <v>3.0</v>
      </c>
      <c r="I295" s="143">
        <v>3.0</v>
      </c>
      <c r="J295" s="143">
        <v>3.0</v>
      </c>
      <c r="K295" s="143">
        <v>3.0</v>
      </c>
      <c r="L295" s="41"/>
      <c r="M295" s="139"/>
      <c r="N295" s="143">
        <v>3.0</v>
      </c>
      <c r="O295" s="143">
        <v>3.0</v>
      </c>
      <c r="P295" s="143">
        <v>3.0</v>
      </c>
      <c r="Q295" s="143">
        <v>3.0</v>
      </c>
      <c r="R295" s="41"/>
      <c r="S295" s="120"/>
      <c r="T295" s="120"/>
      <c r="U295" s="120"/>
      <c r="V295" s="120"/>
      <c r="W295" s="120"/>
      <c r="X295" s="120"/>
      <c r="Y295" s="120"/>
      <c r="Z295" s="120"/>
    </row>
    <row r="296">
      <c r="A296" s="139"/>
      <c r="B296" s="142"/>
      <c r="C296" s="28"/>
      <c r="D296" s="28"/>
      <c r="E296" s="28"/>
      <c r="F296" s="44"/>
      <c r="G296" s="139"/>
      <c r="H296" s="142"/>
      <c r="I296" s="28"/>
      <c r="J296" s="28"/>
      <c r="K296" s="28"/>
      <c r="L296" s="44"/>
      <c r="M296" s="139"/>
      <c r="N296" s="142"/>
      <c r="O296" s="28"/>
      <c r="P296" s="28"/>
      <c r="Q296" s="28"/>
      <c r="R296" s="44"/>
      <c r="S296" s="120"/>
      <c r="T296" s="120"/>
      <c r="U296" s="120"/>
      <c r="V296" s="120"/>
      <c r="W296" s="120"/>
      <c r="X296" s="120"/>
      <c r="Y296" s="120"/>
      <c r="Z296" s="120"/>
    </row>
    <row r="297">
      <c r="A297" s="139"/>
      <c r="B297" s="140">
        <v>4.0</v>
      </c>
      <c r="C297" s="140">
        <v>818.0</v>
      </c>
      <c r="D297" s="140">
        <v>4.0</v>
      </c>
      <c r="E297" s="140">
        <v>4.0</v>
      </c>
      <c r="F297" s="34"/>
      <c r="G297" s="139"/>
      <c r="H297" s="140">
        <v>4.0</v>
      </c>
      <c r="I297" s="140">
        <v>893.0</v>
      </c>
      <c r="J297" s="140">
        <v>4.0</v>
      </c>
      <c r="K297" s="140">
        <v>4.0</v>
      </c>
      <c r="L297" s="34"/>
      <c r="M297" s="139"/>
      <c r="N297" s="140">
        <v>4.0</v>
      </c>
      <c r="O297" s="140">
        <v>938.0</v>
      </c>
      <c r="P297" s="140">
        <v>4.0</v>
      </c>
      <c r="Q297" s="140">
        <v>4.0</v>
      </c>
      <c r="R297" s="34"/>
      <c r="S297" s="120"/>
      <c r="T297" s="120"/>
      <c r="U297" s="120"/>
      <c r="V297" s="120"/>
      <c r="W297" s="120"/>
      <c r="X297" s="120"/>
      <c r="Y297" s="120"/>
      <c r="Z297" s="120"/>
    </row>
    <row r="298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38"/>
      <c r="O298" s="138"/>
      <c r="P298" s="138"/>
      <c r="Q298" s="138"/>
      <c r="R298" s="138"/>
      <c r="S298" s="120"/>
      <c r="T298" s="120"/>
      <c r="U298" s="120"/>
      <c r="V298" s="120"/>
      <c r="W298" s="120"/>
      <c r="X298" s="120"/>
      <c r="Y298" s="120"/>
      <c r="Z298" s="120"/>
    </row>
    <row r="299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39"/>
      <c r="N299" s="140"/>
      <c r="O299" s="140">
        <v>19.0</v>
      </c>
      <c r="P299" s="33"/>
      <c r="Q299" s="33"/>
      <c r="R299" s="141">
        <v>110.0</v>
      </c>
      <c r="S299" s="120"/>
      <c r="T299" s="120"/>
      <c r="U299" s="120"/>
      <c r="V299" s="120"/>
      <c r="W299" s="120"/>
      <c r="X299" s="120"/>
      <c r="Y299" s="120"/>
      <c r="Z299" s="120"/>
    </row>
    <row r="300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39"/>
      <c r="N300" s="28"/>
      <c r="O300" s="28"/>
      <c r="P300" s="28"/>
      <c r="Q300" s="28"/>
      <c r="R300" s="44"/>
      <c r="S300" s="120"/>
      <c r="T300" s="120"/>
      <c r="U300" s="120"/>
      <c r="V300" s="120"/>
      <c r="W300" s="120"/>
      <c r="X300" s="120"/>
      <c r="Y300" s="120"/>
      <c r="Z300" s="120"/>
    </row>
    <row r="30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39"/>
      <c r="N301" s="33"/>
      <c r="O301" s="33"/>
      <c r="P301" s="33"/>
      <c r="Q301" s="33"/>
      <c r="R301" s="34"/>
      <c r="S301" s="120"/>
      <c r="T301" s="120"/>
      <c r="U301" s="120"/>
      <c r="V301" s="120"/>
      <c r="W301" s="120"/>
      <c r="X301" s="120"/>
      <c r="Y301" s="120"/>
      <c r="Z301" s="120"/>
    </row>
    <row r="302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39"/>
      <c r="N302" s="142">
        <v>17.0</v>
      </c>
      <c r="O302" s="142">
        <v>47.0</v>
      </c>
      <c r="P302" s="142">
        <v>15.0</v>
      </c>
      <c r="Q302" s="142">
        <v>15.0</v>
      </c>
      <c r="R302" s="44"/>
      <c r="S302" s="120"/>
      <c r="T302" s="120"/>
      <c r="U302" s="120"/>
      <c r="V302" s="120"/>
      <c r="W302" s="120"/>
      <c r="X302" s="120"/>
      <c r="Y302" s="120"/>
      <c r="Z302" s="120"/>
    </row>
    <row r="303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39"/>
      <c r="N303" s="143">
        <v>12.0</v>
      </c>
      <c r="O303" s="143">
        <v>58.0</v>
      </c>
      <c r="P303" s="47"/>
      <c r="Q303" s="47"/>
      <c r="R303" s="41"/>
      <c r="S303" s="120"/>
      <c r="T303" s="120"/>
      <c r="U303" s="120"/>
      <c r="V303" s="120"/>
      <c r="W303" s="120"/>
      <c r="X303" s="120"/>
      <c r="Y303" s="120"/>
      <c r="Z303" s="120"/>
    </row>
    <row r="304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39"/>
      <c r="N304" s="28"/>
      <c r="O304" s="28"/>
      <c r="P304" s="28"/>
      <c r="Q304" s="28"/>
      <c r="R304" s="44"/>
      <c r="S304" s="120"/>
      <c r="T304" s="120"/>
      <c r="U304" s="120"/>
      <c r="V304" s="120"/>
      <c r="W304" s="120"/>
      <c r="X304" s="120"/>
      <c r="Y304" s="120"/>
      <c r="Z304" s="120"/>
    </row>
    <row r="305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39"/>
      <c r="N305" s="47"/>
      <c r="O305" s="47"/>
      <c r="P305" s="47"/>
      <c r="Q305" s="47"/>
      <c r="R305" s="144">
        <v>19.0</v>
      </c>
      <c r="S305" s="120"/>
      <c r="T305" s="120"/>
      <c r="U305" s="120"/>
      <c r="V305" s="120"/>
      <c r="W305" s="120"/>
      <c r="X305" s="120"/>
      <c r="Y305" s="120"/>
      <c r="Z305" s="120"/>
    </row>
    <row r="306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39"/>
      <c r="N306" s="28"/>
      <c r="O306" s="28"/>
      <c r="P306" s="28"/>
      <c r="Q306" s="28"/>
      <c r="R306" s="63">
        <v>17.0</v>
      </c>
      <c r="S306" s="120"/>
      <c r="T306" s="120"/>
      <c r="U306" s="120"/>
      <c r="V306" s="120"/>
      <c r="W306" s="120"/>
      <c r="X306" s="120"/>
      <c r="Y306" s="120"/>
      <c r="Z306" s="120"/>
    </row>
    <row r="307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39"/>
      <c r="N307" s="47"/>
      <c r="O307" s="47"/>
      <c r="P307" s="47"/>
      <c r="Q307" s="47"/>
      <c r="R307" s="144">
        <v>22.0</v>
      </c>
      <c r="S307" s="120"/>
      <c r="T307" s="120"/>
      <c r="U307" s="120"/>
      <c r="V307" s="120"/>
      <c r="W307" s="120"/>
      <c r="X307" s="120"/>
      <c r="Y307" s="120"/>
      <c r="Z307" s="120"/>
    </row>
    <row r="308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39"/>
      <c r="N308" s="28"/>
      <c r="O308" s="28"/>
      <c r="P308" s="28"/>
      <c r="Q308" s="28"/>
      <c r="R308" s="44"/>
      <c r="S308" s="120"/>
      <c r="T308" s="120"/>
      <c r="U308" s="120"/>
      <c r="V308" s="120"/>
      <c r="W308" s="120"/>
      <c r="X308" s="120"/>
      <c r="Y308" s="120"/>
      <c r="Z308" s="120"/>
    </row>
    <row r="309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39"/>
      <c r="N309" s="33"/>
      <c r="O309" s="33"/>
      <c r="P309" s="33"/>
      <c r="Q309" s="33"/>
      <c r="R309" s="34"/>
      <c r="S309" s="120"/>
      <c r="T309" s="120"/>
      <c r="U309" s="120"/>
      <c r="V309" s="120"/>
      <c r="W309" s="120"/>
      <c r="X309" s="120"/>
      <c r="Y309" s="120"/>
      <c r="Z309" s="120"/>
    </row>
    <row r="310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39"/>
      <c r="N310" s="142">
        <v>3.0</v>
      </c>
      <c r="O310" s="142">
        <v>14.0</v>
      </c>
      <c r="P310" s="142">
        <v>2.0</v>
      </c>
      <c r="Q310" s="142">
        <v>2.0</v>
      </c>
      <c r="R310" s="44"/>
      <c r="S310" s="120"/>
      <c r="T310" s="120"/>
      <c r="U310" s="120"/>
      <c r="V310" s="120"/>
      <c r="W310" s="120"/>
      <c r="X310" s="120"/>
      <c r="Y310" s="120"/>
      <c r="Z310" s="120"/>
    </row>
    <row r="31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39"/>
      <c r="N311" s="47"/>
      <c r="O311" s="143">
        <v>5.0</v>
      </c>
      <c r="P311" s="47"/>
      <c r="Q311" s="47"/>
      <c r="R311" s="41"/>
      <c r="S311" s="120"/>
      <c r="T311" s="120"/>
      <c r="U311" s="120"/>
      <c r="V311" s="120"/>
      <c r="W311" s="120"/>
      <c r="X311" s="120"/>
      <c r="Y311" s="120"/>
      <c r="Z311" s="120"/>
    </row>
    <row r="312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39"/>
      <c r="N312" s="142"/>
      <c r="O312" s="142">
        <v>13.0</v>
      </c>
      <c r="P312" s="28"/>
      <c r="Q312" s="28"/>
      <c r="R312" s="44"/>
      <c r="S312" s="120"/>
      <c r="T312" s="120"/>
      <c r="U312" s="120"/>
      <c r="V312" s="120"/>
      <c r="W312" s="120"/>
      <c r="X312" s="120"/>
      <c r="Y312" s="120"/>
      <c r="Z312" s="120"/>
    </row>
    <row r="313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39"/>
      <c r="N313" s="143">
        <v>5.0</v>
      </c>
      <c r="O313" s="143">
        <v>5.0</v>
      </c>
      <c r="P313" s="143">
        <v>5.0</v>
      </c>
      <c r="Q313" s="143">
        <v>5.0</v>
      </c>
      <c r="R313" s="144">
        <v>8.0</v>
      </c>
      <c r="S313" s="120"/>
      <c r="T313" s="120"/>
      <c r="U313" s="120"/>
      <c r="V313" s="120"/>
      <c r="W313" s="120"/>
      <c r="X313" s="120"/>
      <c r="Y313" s="120"/>
      <c r="Z313" s="120"/>
    </row>
    <row r="314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39"/>
      <c r="N314" s="28"/>
      <c r="O314" s="28"/>
      <c r="P314" s="28"/>
      <c r="Q314" s="28"/>
      <c r="R314" s="44"/>
      <c r="S314" s="120"/>
      <c r="T314" s="120"/>
      <c r="U314" s="120"/>
      <c r="V314" s="120"/>
      <c r="W314" s="120"/>
      <c r="X314" s="120"/>
      <c r="Y314" s="120"/>
      <c r="Z314" s="120"/>
    </row>
    <row r="315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39"/>
      <c r="N315" s="143">
        <v>2.0</v>
      </c>
      <c r="O315" s="143">
        <v>2.0</v>
      </c>
      <c r="P315" s="143">
        <v>2.0</v>
      </c>
      <c r="Q315" s="143">
        <v>2.0</v>
      </c>
      <c r="R315" s="41"/>
      <c r="S315" s="120"/>
      <c r="T315" s="120"/>
      <c r="U315" s="120"/>
      <c r="V315" s="120"/>
      <c r="W315" s="120"/>
      <c r="X315" s="120"/>
      <c r="Y315" s="120"/>
      <c r="Z315" s="120"/>
    </row>
    <row r="316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39"/>
      <c r="N316" s="142">
        <v>1.0</v>
      </c>
      <c r="O316" s="142">
        <v>1.0</v>
      </c>
      <c r="P316" s="142">
        <v>1.0</v>
      </c>
      <c r="Q316" s="142">
        <v>1.0</v>
      </c>
      <c r="R316" s="44"/>
      <c r="S316" s="120"/>
      <c r="T316" s="120"/>
      <c r="U316" s="120"/>
      <c r="V316" s="120"/>
      <c r="W316" s="120"/>
      <c r="X316" s="120"/>
      <c r="Y316" s="120"/>
      <c r="Z316" s="120"/>
    </row>
    <row r="317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39"/>
      <c r="N317" s="143">
        <v>1.0</v>
      </c>
      <c r="O317" s="143">
        <v>1.0</v>
      </c>
      <c r="P317" s="143">
        <v>1.0</v>
      </c>
      <c r="Q317" s="143">
        <v>1.0</v>
      </c>
      <c r="R317" s="41"/>
      <c r="S317" s="120"/>
      <c r="T317" s="120"/>
      <c r="U317" s="120"/>
      <c r="V317" s="120"/>
      <c r="W317" s="120"/>
      <c r="X317" s="120"/>
      <c r="Y317" s="120"/>
      <c r="Z317" s="120"/>
    </row>
    <row r="318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39"/>
      <c r="N318" s="142">
        <v>3.0</v>
      </c>
      <c r="O318" s="142">
        <v>3.0</v>
      </c>
      <c r="P318" s="142">
        <v>3.0</v>
      </c>
      <c r="Q318" s="142">
        <v>3.0</v>
      </c>
      <c r="R318" s="63">
        <v>1.0</v>
      </c>
      <c r="S318" s="120"/>
      <c r="T318" s="120"/>
      <c r="U318" s="120"/>
      <c r="V318" s="120"/>
      <c r="W318" s="120"/>
      <c r="X318" s="120"/>
      <c r="Y318" s="120"/>
      <c r="Z318" s="120"/>
    </row>
    <row r="319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39"/>
      <c r="N319" s="143">
        <v>3.0</v>
      </c>
      <c r="O319" s="143">
        <v>3.0</v>
      </c>
      <c r="P319" s="143">
        <v>3.0</v>
      </c>
      <c r="Q319" s="143">
        <v>3.0</v>
      </c>
      <c r="R319" s="41"/>
      <c r="S319" s="120"/>
      <c r="T319" s="120"/>
      <c r="U319" s="120"/>
      <c r="V319" s="120"/>
      <c r="W319" s="120"/>
      <c r="X319" s="120"/>
      <c r="Y319" s="120"/>
      <c r="Z319" s="120"/>
    </row>
    <row r="320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39"/>
      <c r="N320" s="28"/>
      <c r="O320" s="28"/>
      <c r="P320" s="28"/>
      <c r="Q320" s="28"/>
      <c r="R320" s="44"/>
      <c r="S320" s="120"/>
      <c r="T320" s="120"/>
      <c r="U320" s="120"/>
      <c r="V320" s="120"/>
      <c r="W320" s="120"/>
      <c r="X320" s="120"/>
      <c r="Y320" s="120"/>
      <c r="Z320" s="120"/>
    </row>
    <row r="32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39"/>
      <c r="N321" s="33">
        <v>4.0</v>
      </c>
      <c r="O321" s="140">
        <v>938.0</v>
      </c>
      <c r="P321" s="140">
        <v>4.0</v>
      </c>
      <c r="Q321" s="140">
        <v>4.0</v>
      </c>
      <c r="R321" s="34"/>
      <c r="S321" s="120"/>
      <c r="T321" s="120"/>
      <c r="U321" s="120"/>
      <c r="V321" s="120"/>
      <c r="W321" s="120"/>
      <c r="X321" s="120"/>
      <c r="Y321" s="120"/>
      <c r="Z321" s="120"/>
    </row>
    <row r="322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>
      <c r="A990" s="120"/>
      <c r="B990" s="120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>
      <c r="A991" s="120"/>
      <c r="B991" s="120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>
      <c r="A992" s="120"/>
      <c r="B992" s="120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>
      <c r="A994" s="120"/>
      <c r="B994" s="120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>
      <c r="A995" s="120"/>
      <c r="B995" s="120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>
      <c r="A996" s="120"/>
      <c r="B996" s="120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>
      <c r="A997" s="120"/>
      <c r="B997" s="120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>
      <c r="A998" s="120"/>
      <c r="B998" s="120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>
      <c r="A999" s="120"/>
      <c r="B999" s="120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>
      <c r="A1000" s="120"/>
      <c r="B1000" s="120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  <row r="1001">
      <c r="A1001" s="120"/>
      <c r="B1001" s="120"/>
      <c r="C1001" s="120"/>
      <c r="D1001" s="120"/>
      <c r="E1001" s="120"/>
      <c r="F1001" s="120"/>
      <c r="G1001" s="120"/>
      <c r="H1001" s="120"/>
      <c r="I1001" s="120"/>
      <c r="J1001" s="120"/>
      <c r="K1001" s="120"/>
      <c r="L1001" s="120"/>
      <c r="M1001" s="120"/>
      <c r="N1001" s="120"/>
      <c r="O1001" s="120"/>
      <c r="P1001" s="120"/>
      <c r="Q1001" s="120"/>
      <c r="R1001" s="120"/>
      <c r="S1001" s="120"/>
      <c r="T1001" s="120"/>
      <c r="U1001" s="120"/>
      <c r="V1001" s="120"/>
      <c r="W1001" s="120"/>
      <c r="X1001" s="120"/>
      <c r="Y1001" s="120"/>
      <c r="Z1001" s="120"/>
    </row>
    <row r="1002">
      <c r="A1002" s="120"/>
      <c r="B1002" s="120"/>
      <c r="C1002" s="120"/>
      <c r="D1002" s="120"/>
      <c r="E1002" s="120"/>
      <c r="F1002" s="120"/>
      <c r="G1002" s="120"/>
      <c r="H1002" s="120"/>
      <c r="I1002" s="120"/>
      <c r="J1002" s="120"/>
      <c r="K1002" s="120"/>
      <c r="L1002" s="120"/>
      <c r="M1002" s="120"/>
      <c r="N1002" s="120"/>
      <c r="O1002" s="120"/>
      <c r="P1002" s="120"/>
      <c r="Q1002" s="120"/>
      <c r="R1002" s="120"/>
      <c r="S1002" s="120"/>
      <c r="T1002" s="120"/>
      <c r="U1002" s="120"/>
      <c r="V1002" s="120"/>
      <c r="W1002" s="120"/>
      <c r="X1002" s="120"/>
      <c r="Y1002" s="120"/>
      <c r="Z1002" s="120"/>
    </row>
    <row r="1003">
      <c r="A1003" s="120"/>
      <c r="B1003" s="120"/>
      <c r="C1003" s="120"/>
      <c r="D1003" s="120"/>
      <c r="E1003" s="120"/>
      <c r="F1003" s="120"/>
      <c r="G1003" s="120"/>
      <c r="H1003" s="120"/>
      <c r="I1003" s="120"/>
      <c r="J1003" s="120"/>
      <c r="K1003" s="120"/>
      <c r="L1003" s="120"/>
      <c r="M1003" s="120"/>
      <c r="N1003" s="120"/>
      <c r="O1003" s="120"/>
      <c r="P1003" s="120"/>
      <c r="Q1003" s="120"/>
      <c r="R1003" s="120"/>
      <c r="S1003" s="120"/>
      <c r="T1003" s="120"/>
      <c r="U1003" s="120"/>
      <c r="V1003" s="120"/>
      <c r="W1003" s="120"/>
      <c r="X1003" s="120"/>
      <c r="Y1003" s="120"/>
      <c r="Z1003" s="120"/>
    </row>
    <row r="1004">
      <c r="A1004" s="120"/>
      <c r="B1004" s="120"/>
      <c r="C1004" s="120"/>
      <c r="D1004" s="120"/>
      <c r="E1004" s="120"/>
      <c r="F1004" s="120"/>
      <c r="G1004" s="120"/>
      <c r="H1004" s="120"/>
      <c r="I1004" s="120"/>
      <c r="J1004" s="120"/>
      <c r="K1004" s="120"/>
      <c r="L1004" s="120"/>
      <c r="M1004" s="120"/>
      <c r="N1004" s="120"/>
      <c r="O1004" s="120"/>
      <c r="P1004" s="120"/>
      <c r="Q1004" s="120"/>
      <c r="R1004" s="120"/>
      <c r="S1004" s="120"/>
      <c r="T1004" s="120"/>
      <c r="U1004" s="120"/>
      <c r="V1004" s="120"/>
      <c r="W1004" s="120"/>
      <c r="X1004" s="120"/>
      <c r="Y1004" s="120"/>
      <c r="Z1004" s="120"/>
    </row>
    <row r="1005">
      <c r="A1005" s="120"/>
      <c r="B1005" s="120"/>
      <c r="C1005" s="120"/>
      <c r="D1005" s="120"/>
      <c r="E1005" s="120"/>
      <c r="F1005" s="120"/>
      <c r="G1005" s="120"/>
      <c r="H1005" s="120"/>
      <c r="I1005" s="120"/>
      <c r="J1005" s="120"/>
      <c r="K1005" s="120"/>
      <c r="L1005" s="120"/>
      <c r="M1005" s="120"/>
      <c r="N1005" s="120"/>
      <c r="O1005" s="120"/>
      <c r="P1005" s="120"/>
      <c r="Q1005" s="120"/>
      <c r="R1005" s="120"/>
      <c r="S1005" s="120"/>
      <c r="T1005" s="120"/>
      <c r="U1005" s="120"/>
      <c r="V1005" s="120"/>
      <c r="W1005" s="120"/>
      <c r="X1005" s="120"/>
      <c r="Y1005" s="120"/>
      <c r="Z1005" s="120"/>
    </row>
    <row r="1006">
      <c r="A1006" s="120"/>
      <c r="B1006" s="120"/>
      <c r="C1006" s="120"/>
      <c r="D1006" s="120"/>
      <c r="E1006" s="120"/>
      <c r="F1006" s="120"/>
      <c r="G1006" s="120"/>
      <c r="H1006" s="120"/>
      <c r="I1006" s="120"/>
      <c r="J1006" s="120"/>
      <c r="K1006" s="120"/>
      <c r="L1006" s="120"/>
      <c r="M1006" s="120"/>
      <c r="N1006" s="120"/>
      <c r="O1006" s="120"/>
      <c r="P1006" s="120"/>
      <c r="Q1006" s="120"/>
      <c r="R1006" s="120"/>
      <c r="S1006" s="120"/>
      <c r="T1006" s="120"/>
      <c r="U1006" s="120"/>
      <c r="V1006" s="120"/>
      <c r="W1006" s="120"/>
      <c r="X1006" s="120"/>
      <c r="Y1006" s="120"/>
      <c r="Z1006" s="120"/>
    </row>
    <row r="1007">
      <c r="A1007" s="120"/>
      <c r="B1007" s="120"/>
      <c r="C1007" s="120"/>
      <c r="D1007" s="120"/>
      <c r="E1007" s="120"/>
      <c r="F1007" s="120"/>
      <c r="G1007" s="120"/>
      <c r="H1007" s="120"/>
      <c r="I1007" s="120"/>
      <c r="J1007" s="120"/>
      <c r="K1007" s="120"/>
      <c r="L1007" s="120"/>
      <c r="M1007" s="120"/>
      <c r="N1007" s="120"/>
      <c r="O1007" s="120"/>
      <c r="P1007" s="120"/>
      <c r="Q1007" s="120"/>
      <c r="R1007" s="120"/>
      <c r="S1007" s="120"/>
      <c r="T1007" s="120"/>
      <c r="U1007" s="120"/>
      <c r="V1007" s="120"/>
      <c r="W1007" s="120"/>
      <c r="X1007" s="120"/>
      <c r="Y1007" s="120"/>
      <c r="Z1007" s="120"/>
    </row>
    <row r="1008">
      <c r="A1008" s="120"/>
      <c r="B1008" s="120"/>
      <c r="C1008" s="120"/>
      <c r="D1008" s="120"/>
      <c r="E1008" s="120"/>
      <c r="F1008" s="120"/>
      <c r="G1008" s="120"/>
      <c r="H1008" s="120"/>
      <c r="I1008" s="120"/>
      <c r="J1008" s="120"/>
      <c r="K1008" s="120"/>
      <c r="L1008" s="120"/>
      <c r="M1008" s="120"/>
      <c r="N1008" s="120"/>
      <c r="O1008" s="120"/>
      <c r="P1008" s="120"/>
      <c r="Q1008" s="120"/>
      <c r="R1008" s="120"/>
      <c r="S1008" s="120"/>
      <c r="T1008" s="120"/>
      <c r="U1008" s="120"/>
      <c r="V1008" s="120"/>
      <c r="W1008" s="120"/>
      <c r="X1008" s="120"/>
      <c r="Y1008" s="120"/>
      <c r="Z1008" s="120"/>
    </row>
    <row r="1009">
      <c r="A1009" s="120"/>
      <c r="B1009" s="120"/>
      <c r="C1009" s="120"/>
      <c r="D1009" s="120"/>
      <c r="E1009" s="120"/>
      <c r="F1009" s="120"/>
      <c r="G1009" s="120"/>
      <c r="H1009" s="120"/>
      <c r="I1009" s="120"/>
      <c r="J1009" s="120"/>
      <c r="K1009" s="120"/>
      <c r="L1009" s="120"/>
      <c r="M1009" s="120"/>
      <c r="N1009" s="120"/>
      <c r="O1009" s="120"/>
      <c r="P1009" s="120"/>
      <c r="Q1009" s="120"/>
      <c r="R1009" s="120"/>
      <c r="S1009" s="120"/>
      <c r="T1009" s="120"/>
      <c r="U1009" s="120"/>
      <c r="V1009" s="120"/>
      <c r="W1009" s="120"/>
      <c r="X1009" s="120"/>
      <c r="Y1009" s="120"/>
      <c r="Z1009" s="120"/>
    </row>
    <row r="1010">
      <c r="A1010" s="120"/>
      <c r="B1010" s="120"/>
      <c r="C1010" s="120"/>
      <c r="D1010" s="120"/>
      <c r="E1010" s="120"/>
      <c r="F1010" s="120"/>
      <c r="G1010" s="120"/>
      <c r="H1010" s="120"/>
      <c r="I1010" s="120"/>
      <c r="J1010" s="120"/>
      <c r="K1010" s="120"/>
      <c r="L1010" s="120"/>
      <c r="M1010" s="120"/>
      <c r="N1010" s="120"/>
      <c r="O1010" s="120"/>
      <c r="P1010" s="120"/>
      <c r="Q1010" s="120"/>
      <c r="R1010" s="120"/>
      <c r="S1010" s="120"/>
      <c r="T1010" s="120"/>
      <c r="U1010" s="120"/>
      <c r="V1010" s="120"/>
      <c r="W1010" s="120"/>
      <c r="X1010" s="120"/>
      <c r="Y1010" s="120"/>
      <c r="Z1010" s="120"/>
    </row>
    <row r="1011">
      <c r="A1011" s="120"/>
      <c r="B1011" s="120"/>
      <c r="C1011" s="120"/>
      <c r="D1011" s="120"/>
      <c r="E1011" s="120"/>
      <c r="F1011" s="120"/>
      <c r="G1011" s="120"/>
      <c r="H1011" s="120"/>
      <c r="I1011" s="120"/>
      <c r="J1011" s="120"/>
      <c r="K1011" s="120"/>
      <c r="L1011" s="120"/>
      <c r="M1011" s="120"/>
      <c r="N1011" s="120"/>
      <c r="O1011" s="120"/>
      <c r="P1011" s="120"/>
      <c r="Q1011" s="120"/>
      <c r="R1011" s="120"/>
      <c r="S1011" s="120"/>
      <c r="T1011" s="120"/>
      <c r="U1011" s="120"/>
      <c r="V1011" s="120"/>
      <c r="W1011" s="120"/>
      <c r="X1011" s="120"/>
      <c r="Y1011" s="120"/>
      <c r="Z1011" s="120"/>
    </row>
    <row r="1012">
      <c r="A1012" s="120"/>
      <c r="B1012" s="120"/>
      <c r="C1012" s="120"/>
      <c r="D1012" s="120"/>
      <c r="E1012" s="120"/>
      <c r="F1012" s="120"/>
      <c r="G1012" s="120"/>
      <c r="H1012" s="120"/>
      <c r="I1012" s="120"/>
      <c r="J1012" s="120"/>
      <c r="K1012" s="120"/>
      <c r="L1012" s="120"/>
      <c r="M1012" s="120"/>
      <c r="N1012" s="120"/>
      <c r="O1012" s="120"/>
      <c r="P1012" s="120"/>
      <c r="Q1012" s="120"/>
      <c r="R1012" s="120"/>
      <c r="S1012" s="120"/>
      <c r="T1012" s="120"/>
      <c r="U1012" s="120"/>
      <c r="V1012" s="120"/>
      <c r="W1012" s="120"/>
      <c r="X1012" s="120"/>
      <c r="Y1012" s="120"/>
      <c r="Z1012" s="120"/>
    </row>
    <row r="1013">
      <c r="A1013" s="120"/>
      <c r="B1013" s="120"/>
      <c r="C1013" s="120"/>
      <c r="D1013" s="120"/>
      <c r="E1013" s="120"/>
      <c r="F1013" s="120"/>
      <c r="G1013" s="120"/>
      <c r="H1013" s="120"/>
      <c r="I1013" s="120"/>
      <c r="J1013" s="120"/>
      <c r="K1013" s="120"/>
      <c r="L1013" s="120"/>
      <c r="M1013" s="120"/>
      <c r="N1013" s="120"/>
      <c r="O1013" s="120"/>
      <c r="P1013" s="120"/>
      <c r="Q1013" s="120"/>
      <c r="R1013" s="120"/>
      <c r="S1013" s="120"/>
      <c r="T1013" s="120"/>
      <c r="U1013" s="120"/>
      <c r="V1013" s="120"/>
      <c r="W1013" s="120"/>
      <c r="X1013" s="120"/>
      <c r="Y1013" s="120"/>
      <c r="Z1013" s="120"/>
    </row>
    <row r="1014">
      <c r="A1014" s="120"/>
      <c r="B1014" s="120"/>
      <c r="C1014" s="120"/>
      <c r="D1014" s="120"/>
      <c r="E1014" s="120"/>
      <c r="F1014" s="120"/>
      <c r="G1014" s="120"/>
      <c r="H1014" s="120"/>
      <c r="I1014" s="120"/>
      <c r="J1014" s="120"/>
      <c r="K1014" s="120"/>
      <c r="L1014" s="120"/>
      <c r="M1014" s="120"/>
      <c r="N1014" s="120"/>
      <c r="O1014" s="120"/>
      <c r="P1014" s="120"/>
      <c r="Q1014" s="120"/>
      <c r="R1014" s="120"/>
      <c r="S1014" s="120"/>
      <c r="T1014" s="120"/>
      <c r="U1014" s="120"/>
      <c r="V1014" s="120"/>
      <c r="W1014" s="120"/>
      <c r="X1014" s="120"/>
      <c r="Y1014" s="120"/>
      <c r="Z1014" s="120"/>
    </row>
    <row r="1015">
      <c r="A1015" s="120"/>
      <c r="B1015" s="120"/>
      <c r="C1015" s="120"/>
      <c r="D1015" s="120"/>
      <c r="E1015" s="120"/>
      <c r="F1015" s="120"/>
      <c r="G1015" s="120"/>
      <c r="H1015" s="120"/>
      <c r="I1015" s="120"/>
      <c r="J1015" s="120"/>
      <c r="K1015" s="120"/>
      <c r="L1015" s="120"/>
      <c r="M1015" s="120"/>
      <c r="N1015" s="120"/>
      <c r="O1015" s="120"/>
      <c r="P1015" s="120"/>
      <c r="Q1015" s="120"/>
      <c r="R1015" s="120"/>
      <c r="S1015" s="120"/>
      <c r="T1015" s="120"/>
      <c r="U1015" s="120"/>
      <c r="V1015" s="120"/>
      <c r="W1015" s="120"/>
      <c r="X1015" s="120"/>
      <c r="Y1015" s="120"/>
      <c r="Z1015" s="120"/>
    </row>
    <row r="1016">
      <c r="A1016" s="120"/>
      <c r="B1016" s="120"/>
      <c r="C1016" s="120"/>
      <c r="D1016" s="120"/>
      <c r="E1016" s="120"/>
      <c r="F1016" s="120"/>
      <c r="G1016" s="120"/>
      <c r="H1016" s="120"/>
      <c r="I1016" s="120"/>
      <c r="J1016" s="120"/>
      <c r="K1016" s="120"/>
      <c r="L1016" s="120"/>
      <c r="M1016" s="120"/>
      <c r="N1016" s="120"/>
      <c r="O1016" s="120"/>
      <c r="P1016" s="120"/>
      <c r="Q1016" s="120"/>
      <c r="R1016" s="120"/>
      <c r="S1016" s="120"/>
      <c r="T1016" s="120"/>
      <c r="U1016" s="120"/>
      <c r="V1016" s="120"/>
      <c r="W1016" s="120"/>
      <c r="X1016" s="120"/>
      <c r="Y1016" s="120"/>
      <c r="Z1016" s="120"/>
    </row>
    <row r="1017">
      <c r="A1017" s="120"/>
      <c r="B1017" s="120"/>
      <c r="C1017" s="120"/>
      <c r="D1017" s="120"/>
      <c r="E1017" s="120"/>
      <c r="F1017" s="120"/>
      <c r="G1017" s="120"/>
      <c r="H1017" s="120"/>
      <c r="I1017" s="120"/>
      <c r="J1017" s="120"/>
      <c r="K1017" s="120"/>
      <c r="L1017" s="120"/>
      <c r="M1017" s="120"/>
      <c r="N1017" s="120"/>
      <c r="O1017" s="120"/>
      <c r="P1017" s="120"/>
      <c r="Q1017" s="120"/>
      <c r="R1017" s="120"/>
      <c r="S1017" s="120"/>
      <c r="T1017" s="120"/>
      <c r="U1017" s="120"/>
      <c r="V1017" s="120"/>
      <c r="W1017" s="120"/>
      <c r="X1017" s="120"/>
      <c r="Y1017" s="120"/>
      <c r="Z1017" s="120"/>
    </row>
    <row r="1018">
      <c r="A1018" s="120"/>
      <c r="B1018" s="120"/>
      <c r="C1018" s="120"/>
      <c r="D1018" s="120"/>
      <c r="E1018" s="120"/>
      <c r="F1018" s="120"/>
      <c r="G1018" s="120"/>
      <c r="H1018" s="120"/>
      <c r="I1018" s="120"/>
      <c r="J1018" s="120"/>
      <c r="K1018" s="120"/>
      <c r="L1018" s="120"/>
      <c r="M1018" s="120"/>
      <c r="N1018" s="120"/>
      <c r="O1018" s="120"/>
      <c r="P1018" s="120"/>
      <c r="Q1018" s="120"/>
      <c r="R1018" s="120"/>
      <c r="S1018" s="120"/>
      <c r="T1018" s="120"/>
      <c r="U1018" s="120"/>
      <c r="V1018" s="120"/>
      <c r="W1018" s="120"/>
      <c r="X1018" s="120"/>
      <c r="Y1018" s="120"/>
      <c r="Z1018" s="120"/>
    </row>
    <row r="1019">
      <c r="A1019" s="120"/>
      <c r="B1019" s="120"/>
      <c r="C1019" s="120"/>
      <c r="D1019" s="120"/>
      <c r="E1019" s="120"/>
      <c r="F1019" s="120"/>
      <c r="G1019" s="120"/>
      <c r="H1019" s="120"/>
      <c r="I1019" s="120"/>
      <c r="J1019" s="120"/>
      <c r="K1019" s="120"/>
      <c r="L1019" s="120"/>
      <c r="M1019" s="120"/>
      <c r="N1019" s="120"/>
      <c r="O1019" s="120"/>
      <c r="P1019" s="120"/>
      <c r="Q1019" s="120"/>
      <c r="R1019" s="120"/>
      <c r="S1019" s="120"/>
      <c r="T1019" s="120"/>
      <c r="U1019" s="120"/>
      <c r="V1019" s="120"/>
      <c r="W1019" s="120"/>
      <c r="X1019" s="120"/>
      <c r="Y1019" s="120"/>
      <c r="Z1019" s="120"/>
    </row>
    <row r="1020">
      <c r="A1020" s="120"/>
      <c r="B1020" s="120"/>
      <c r="C1020" s="120"/>
      <c r="D1020" s="120"/>
      <c r="E1020" s="120"/>
      <c r="F1020" s="120"/>
      <c r="G1020" s="120"/>
      <c r="H1020" s="120"/>
      <c r="I1020" s="120"/>
      <c r="J1020" s="120"/>
      <c r="K1020" s="120"/>
      <c r="L1020" s="120"/>
      <c r="M1020" s="120"/>
      <c r="N1020" s="120"/>
      <c r="O1020" s="120"/>
      <c r="P1020" s="120"/>
      <c r="Q1020" s="120"/>
      <c r="R1020" s="120"/>
      <c r="S1020" s="120"/>
      <c r="T1020" s="120"/>
      <c r="U1020" s="120"/>
      <c r="V1020" s="120"/>
      <c r="W1020" s="120"/>
      <c r="X1020" s="120"/>
      <c r="Y1020" s="120"/>
      <c r="Z1020" s="120"/>
    </row>
    <row r="1021">
      <c r="A1021" s="120"/>
      <c r="B1021" s="120"/>
      <c r="C1021" s="120"/>
      <c r="D1021" s="120"/>
      <c r="E1021" s="120"/>
      <c r="F1021" s="120"/>
      <c r="G1021" s="120"/>
      <c r="H1021" s="120"/>
      <c r="I1021" s="120"/>
      <c r="J1021" s="120"/>
      <c r="K1021" s="120"/>
      <c r="L1021" s="120"/>
      <c r="M1021" s="120"/>
      <c r="N1021" s="120"/>
      <c r="O1021" s="120"/>
      <c r="P1021" s="120"/>
      <c r="Q1021" s="120"/>
      <c r="R1021" s="120"/>
      <c r="S1021" s="120"/>
      <c r="T1021" s="120"/>
      <c r="U1021" s="120"/>
      <c r="V1021" s="120"/>
      <c r="W1021" s="120"/>
      <c r="X1021" s="120"/>
      <c r="Y1021" s="120"/>
      <c r="Z1021" s="120"/>
    </row>
    <row r="1022">
      <c r="A1022" s="120"/>
      <c r="B1022" s="120"/>
      <c r="C1022" s="120"/>
      <c r="D1022" s="120"/>
      <c r="E1022" s="120"/>
      <c r="F1022" s="120"/>
      <c r="G1022" s="120"/>
      <c r="H1022" s="120"/>
      <c r="I1022" s="120"/>
      <c r="J1022" s="120"/>
      <c r="K1022" s="120"/>
      <c r="L1022" s="120"/>
      <c r="M1022" s="120"/>
      <c r="N1022" s="120"/>
      <c r="O1022" s="120"/>
      <c r="P1022" s="120"/>
      <c r="Q1022" s="120"/>
      <c r="R1022" s="120"/>
      <c r="S1022" s="120"/>
      <c r="T1022" s="120"/>
      <c r="U1022" s="120"/>
      <c r="V1022" s="120"/>
      <c r="W1022" s="120"/>
      <c r="X1022" s="120"/>
      <c r="Y1022" s="120"/>
      <c r="Z1022" s="120"/>
    </row>
    <row r="1023">
      <c r="A1023" s="120"/>
      <c r="B1023" s="120"/>
      <c r="C1023" s="120"/>
      <c r="D1023" s="120"/>
      <c r="E1023" s="120"/>
      <c r="F1023" s="120"/>
      <c r="G1023" s="120"/>
      <c r="H1023" s="120"/>
      <c r="I1023" s="120"/>
      <c r="J1023" s="120"/>
      <c r="K1023" s="120"/>
      <c r="L1023" s="120"/>
      <c r="M1023" s="120"/>
      <c r="N1023" s="120"/>
      <c r="O1023" s="120"/>
      <c r="P1023" s="120"/>
      <c r="Q1023" s="120"/>
      <c r="R1023" s="120"/>
      <c r="S1023" s="120"/>
      <c r="T1023" s="120"/>
      <c r="U1023" s="120"/>
      <c r="V1023" s="120"/>
      <c r="W1023" s="120"/>
      <c r="X1023" s="120"/>
      <c r="Y1023" s="120"/>
      <c r="Z1023" s="120"/>
    </row>
    <row r="1024">
      <c r="A1024" s="120"/>
      <c r="B1024" s="120"/>
      <c r="C1024" s="120"/>
      <c r="D1024" s="120"/>
      <c r="E1024" s="120"/>
      <c r="F1024" s="120"/>
      <c r="G1024" s="120"/>
      <c r="H1024" s="120"/>
      <c r="I1024" s="120"/>
      <c r="J1024" s="120"/>
      <c r="K1024" s="120"/>
      <c r="L1024" s="120"/>
      <c r="M1024" s="120"/>
      <c r="N1024" s="120"/>
      <c r="O1024" s="120"/>
      <c r="P1024" s="120"/>
      <c r="Q1024" s="120"/>
      <c r="R1024" s="120"/>
      <c r="S1024" s="120"/>
      <c r="T1024" s="120"/>
      <c r="U1024" s="120"/>
      <c r="V1024" s="120"/>
      <c r="W1024" s="120"/>
      <c r="X1024" s="120"/>
      <c r="Y1024" s="120"/>
      <c r="Z1024" s="120"/>
    </row>
    <row r="1025">
      <c r="A1025" s="120"/>
      <c r="B1025" s="120"/>
      <c r="C1025" s="120"/>
      <c r="D1025" s="120"/>
      <c r="E1025" s="120"/>
      <c r="F1025" s="120"/>
      <c r="G1025" s="120"/>
      <c r="H1025" s="120"/>
      <c r="I1025" s="120"/>
      <c r="J1025" s="120"/>
      <c r="K1025" s="120"/>
      <c r="L1025" s="120"/>
      <c r="M1025" s="120"/>
      <c r="N1025" s="120"/>
      <c r="O1025" s="120"/>
      <c r="P1025" s="120"/>
      <c r="Q1025" s="120"/>
      <c r="R1025" s="120"/>
      <c r="S1025" s="120"/>
      <c r="T1025" s="120"/>
      <c r="U1025" s="120"/>
      <c r="V1025" s="120"/>
      <c r="W1025" s="120"/>
      <c r="X1025" s="120"/>
      <c r="Y1025" s="120"/>
      <c r="Z1025" s="120"/>
    </row>
    <row r="1026">
      <c r="A1026" s="120"/>
      <c r="B1026" s="120"/>
      <c r="C1026" s="120"/>
      <c r="D1026" s="120"/>
      <c r="E1026" s="120"/>
      <c r="F1026" s="120"/>
      <c r="G1026" s="120"/>
      <c r="H1026" s="120"/>
      <c r="I1026" s="120"/>
      <c r="J1026" s="120"/>
      <c r="K1026" s="120"/>
      <c r="L1026" s="120"/>
      <c r="M1026" s="120"/>
      <c r="N1026" s="120"/>
      <c r="O1026" s="120"/>
      <c r="P1026" s="120"/>
      <c r="Q1026" s="120"/>
      <c r="R1026" s="120"/>
      <c r="S1026" s="120"/>
      <c r="T1026" s="120"/>
      <c r="U1026" s="120"/>
      <c r="V1026" s="120"/>
      <c r="W1026" s="120"/>
      <c r="X1026" s="120"/>
      <c r="Y1026" s="120"/>
      <c r="Z1026" s="120"/>
    </row>
    <row r="1027">
      <c r="A1027" s="120"/>
      <c r="B1027" s="120"/>
      <c r="C1027" s="120"/>
      <c r="D1027" s="120"/>
      <c r="E1027" s="120"/>
      <c r="F1027" s="120"/>
      <c r="G1027" s="120"/>
      <c r="H1027" s="120"/>
      <c r="I1027" s="120"/>
      <c r="J1027" s="120"/>
      <c r="K1027" s="120"/>
      <c r="L1027" s="120"/>
      <c r="M1027" s="120"/>
      <c r="N1027" s="120"/>
      <c r="O1027" s="120"/>
      <c r="P1027" s="120"/>
      <c r="Q1027" s="120"/>
      <c r="R1027" s="120"/>
      <c r="S1027" s="120"/>
      <c r="T1027" s="120"/>
      <c r="U1027" s="120"/>
      <c r="V1027" s="120"/>
      <c r="W1027" s="120"/>
      <c r="X1027" s="120"/>
      <c r="Y1027" s="120"/>
      <c r="Z1027" s="120"/>
    </row>
    <row r="1028">
      <c r="A1028" s="120"/>
      <c r="B1028" s="120"/>
      <c r="C1028" s="120"/>
      <c r="D1028" s="120"/>
      <c r="E1028" s="120"/>
      <c r="F1028" s="120"/>
      <c r="G1028" s="120"/>
      <c r="H1028" s="120"/>
      <c r="I1028" s="120"/>
      <c r="J1028" s="120"/>
      <c r="K1028" s="120"/>
      <c r="L1028" s="120"/>
      <c r="M1028" s="120"/>
      <c r="N1028" s="120"/>
      <c r="O1028" s="120"/>
      <c r="P1028" s="120"/>
      <c r="Q1028" s="120"/>
      <c r="R1028" s="120"/>
      <c r="S1028" s="120"/>
      <c r="T1028" s="120"/>
      <c r="U1028" s="120"/>
      <c r="V1028" s="120"/>
      <c r="W1028" s="120"/>
      <c r="X1028" s="120"/>
      <c r="Y1028" s="120"/>
      <c r="Z1028" s="120"/>
    </row>
    <row r="1029">
      <c r="A1029" s="120"/>
      <c r="B1029" s="120"/>
      <c r="C1029" s="120"/>
      <c r="D1029" s="120"/>
      <c r="E1029" s="120"/>
      <c r="F1029" s="120"/>
      <c r="G1029" s="120"/>
      <c r="H1029" s="120"/>
      <c r="I1029" s="120"/>
      <c r="J1029" s="120"/>
      <c r="K1029" s="120"/>
      <c r="L1029" s="120"/>
      <c r="M1029" s="120"/>
      <c r="N1029" s="120"/>
      <c r="O1029" s="120"/>
      <c r="P1029" s="120"/>
      <c r="Q1029" s="120"/>
      <c r="R1029" s="120"/>
      <c r="S1029" s="120"/>
      <c r="T1029" s="120"/>
      <c r="U1029" s="120"/>
      <c r="V1029" s="120"/>
      <c r="W1029" s="120"/>
      <c r="X1029" s="120"/>
      <c r="Y1029" s="120"/>
      <c r="Z1029" s="120"/>
    </row>
    <row r="1030">
      <c r="A1030" s="120"/>
      <c r="B1030" s="120"/>
      <c r="C1030" s="120"/>
      <c r="D1030" s="120"/>
      <c r="E1030" s="120"/>
      <c r="F1030" s="120"/>
      <c r="G1030" s="120"/>
      <c r="H1030" s="120"/>
      <c r="I1030" s="120"/>
      <c r="J1030" s="120"/>
      <c r="K1030" s="120"/>
      <c r="L1030" s="120"/>
      <c r="M1030" s="120"/>
      <c r="N1030" s="120"/>
      <c r="O1030" s="120"/>
      <c r="P1030" s="120"/>
      <c r="Q1030" s="120"/>
      <c r="R1030" s="120"/>
      <c r="S1030" s="120"/>
      <c r="T1030" s="120"/>
      <c r="U1030" s="120"/>
      <c r="V1030" s="120"/>
      <c r="W1030" s="120"/>
      <c r="X1030" s="120"/>
      <c r="Y1030" s="120"/>
      <c r="Z1030" s="120"/>
    </row>
    <row r="1031">
      <c r="A1031" s="120"/>
      <c r="B1031" s="120"/>
      <c r="C1031" s="120"/>
      <c r="D1031" s="120"/>
      <c r="E1031" s="120"/>
      <c r="F1031" s="120"/>
      <c r="G1031" s="120"/>
      <c r="H1031" s="120"/>
      <c r="I1031" s="120"/>
      <c r="J1031" s="120"/>
      <c r="K1031" s="120"/>
      <c r="L1031" s="120"/>
      <c r="M1031" s="120"/>
      <c r="N1031" s="120"/>
      <c r="O1031" s="120"/>
      <c r="P1031" s="120"/>
      <c r="Q1031" s="120"/>
      <c r="R1031" s="120"/>
      <c r="S1031" s="120"/>
      <c r="T1031" s="120"/>
      <c r="U1031" s="120"/>
      <c r="V1031" s="120"/>
      <c r="W1031" s="120"/>
      <c r="X1031" s="120"/>
      <c r="Y1031" s="120"/>
      <c r="Z1031" s="120"/>
    </row>
    <row r="1032">
      <c r="A1032" s="120"/>
      <c r="B1032" s="120"/>
      <c r="C1032" s="120"/>
      <c r="D1032" s="120"/>
      <c r="E1032" s="120"/>
      <c r="F1032" s="120"/>
      <c r="G1032" s="120"/>
      <c r="H1032" s="120"/>
      <c r="I1032" s="120"/>
      <c r="J1032" s="120"/>
      <c r="K1032" s="120"/>
      <c r="L1032" s="120"/>
      <c r="M1032" s="120"/>
      <c r="N1032" s="120"/>
      <c r="O1032" s="120"/>
      <c r="P1032" s="120"/>
      <c r="Q1032" s="120"/>
      <c r="R1032" s="120"/>
      <c r="S1032" s="120"/>
      <c r="T1032" s="120"/>
      <c r="U1032" s="120"/>
      <c r="V1032" s="120"/>
      <c r="W1032" s="120"/>
      <c r="X1032" s="120"/>
      <c r="Y1032" s="120"/>
      <c r="Z1032" s="120"/>
    </row>
    <row r="1033">
      <c r="A1033" s="120"/>
      <c r="B1033" s="120"/>
      <c r="C1033" s="120"/>
      <c r="D1033" s="120"/>
      <c r="E1033" s="120"/>
      <c r="F1033" s="120"/>
      <c r="G1033" s="120"/>
      <c r="H1033" s="120"/>
      <c r="I1033" s="120"/>
      <c r="J1033" s="120"/>
      <c r="K1033" s="120"/>
      <c r="L1033" s="120"/>
      <c r="M1033" s="120"/>
      <c r="N1033" s="120"/>
      <c r="O1033" s="120"/>
      <c r="P1033" s="120"/>
      <c r="Q1033" s="120"/>
      <c r="R1033" s="120"/>
      <c r="S1033" s="120"/>
      <c r="T1033" s="120"/>
      <c r="U1033" s="120"/>
      <c r="V1033" s="120"/>
      <c r="W1033" s="120"/>
      <c r="X1033" s="120"/>
      <c r="Y1033" s="120"/>
      <c r="Z1033" s="120"/>
    </row>
    <row r="1034">
      <c r="A1034" s="120"/>
      <c r="B1034" s="120"/>
      <c r="C1034" s="120"/>
      <c r="D1034" s="120"/>
      <c r="E1034" s="120"/>
      <c r="F1034" s="120"/>
      <c r="G1034" s="120"/>
      <c r="H1034" s="120"/>
      <c r="I1034" s="120"/>
      <c r="J1034" s="120"/>
      <c r="K1034" s="120"/>
      <c r="L1034" s="120"/>
      <c r="M1034" s="120"/>
      <c r="N1034" s="120"/>
      <c r="O1034" s="120"/>
      <c r="P1034" s="120"/>
      <c r="Q1034" s="120"/>
      <c r="R1034" s="120"/>
      <c r="S1034" s="120"/>
      <c r="T1034" s="120"/>
      <c r="U1034" s="120"/>
      <c r="V1034" s="120"/>
      <c r="W1034" s="120"/>
      <c r="X1034" s="120"/>
      <c r="Y1034" s="120"/>
      <c r="Z1034" s="120"/>
    </row>
    <row r="1035">
      <c r="A1035" s="120"/>
      <c r="B1035" s="120"/>
      <c r="C1035" s="120"/>
      <c r="D1035" s="120"/>
      <c r="E1035" s="120"/>
      <c r="F1035" s="120"/>
      <c r="G1035" s="120"/>
      <c r="H1035" s="120"/>
      <c r="I1035" s="120"/>
      <c r="J1035" s="120"/>
      <c r="K1035" s="120"/>
      <c r="L1035" s="120"/>
      <c r="M1035" s="120"/>
      <c r="N1035" s="120"/>
      <c r="O1035" s="120"/>
      <c r="P1035" s="120"/>
      <c r="Q1035" s="120"/>
      <c r="R1035" s="120"/>
      <c r="S1035" s="120"/>
      <c r="T1035" s="120"/>
      <c r="U1035" s="120"/>
      <c r="V1035" s="120"/>
      <c r="W1035" s="120"/>
      <c r="X1035" s="120"/>
      <c r="Y1035" s="120"/>
      <c r="Z1035" s="120"/>
    </row>
    <row r="1036">
      <c r="A1036" s="120"/>
      <c r="B1036" s="120"/>
      <c r="C1036" s="120"/>
      <c r="D1036" s="120"/>
      <c r="E1036" s="120"/>
      <c r="F1036" s="120"/>
      <c r="G1036" s="120"/>
      <c r="H1036" s="120"/>
      <c r="I1036" s="120"/>
      <c r="J1036" s="120"/>
      <c r="K1036" s="120"/>
      <c r="L1036" s="120"/>
      <c r="M1036" s="120"/>
      <c r="N1036" s="120"/>
      <c r="O1036" s="120"/>
      <c r="P1036" s="120"/>
      <c r="Q1036" s="120"/>
      <c r="R1036" s="120"/>
      <c r="S1036" s="120"/>
      <c r="T1036" s="120"/>
      <c r="U1036" s="120"/>
      <c r="V1036" s="120"/>
      <c r="W1036" s="120"/>
      <c r="X1036" s="120"/>
      <c r="Y1036" s="120"/>
      <c r="Z1036" s="120"/>
    </row>
    <row r="1037">
      <c r="A1037" s="120"/>
      <c r="B1037" s="120"/>
      <c r="C1037" s="120"/>
      <c r="D1037" s="120"/>
      <c r="E1037" s="120"/>
      <c r="F1037" s="120"/>
      <c r="G1037" s="120"/>
      <c r="H1037" s="120"/>
      <c r="I1037" s="120"/>
      <c r="J1037" s="120"/>
      <c r="K1037" s="120"/>
      <c r="L1037" s="120"/>
      <c r="M1037" s="120"/>
      <c r="N1037" s="120"/>
      <c r="O1037" s="120"/>
      <c r="P1037" s="120"/>
      <c r="Q1037" s="120"/>
      <c r="R1037" s="120"/>
      <c r="S1037" s="120"/>
      <c r="T1037" s="120"/>
      <c r="U1037" s="120"/>
      <c r="V1037" s="120"/>
      <c r="W1037" s="120"/>
      <c r="X1037" s="120"/>
      <c r="Y1037" s="120"/>
      <c r="Z1037" s="120"/>
    </row>
    <row r="1038">
      <c r="A1038" s="120"/>
      <c r="B1038" s="120"/>
      <c r="C1038" s="120"/>
      <c r="D1038" s="120"/>
      <c r="E1038" s="120"/>
      <c r="F1038" s="120"/>
      <c r="G1038" s="120"/>
      <c r="H1038" s="120"/>
      <c r="I1038" s="120"/>
      <c r="J1038" s="120"/>
      <c r="K1038" s="120"/>
      <c r="L1038" s="120"/>
      <c r="M1038" s="120"/>
      <c r="N1038" s="120"/>
      <c r="O1038" s="120"/>
      <c r="P1038" s="120"/>
      <c r="Q1038" s="120"/>
      <c r="R1038" s="120"/>
      <c r="S1038" s="120"/>
      <c r="T1038" s="120"/>
      <c r="U1038" s="120"/>
      <c r="V1038" s="120"/>
      <c r="W1038" s="120"/>
      <c r="X1038" s="120"/>
      <c r="Y1038" s="120"/>
      <c r="Z1038" s="120"/>
    </row>
    <row r="1039">
      <c r="A1039" s="120"/>
      <c r="B1039" s="120"/>
      <c r="C1039" s="120"/>
      <c r="D1039" s="120"/>
      <c r="E1039" s="120"/>
      <c r="F1039" s="120"/>
      <c r="G1039" s="120"/>
      <c r="H1039" s="120"/>
      <c r="I1039" s="120"/>
      <c r="J1039" s="120"/>
      <c r="K1039" s="120"/>
      <c r="L1039" s="120"/>
      <c r="M1039" s="120"/>
      <c r="N1039" s="120"/>
      <c r="O1039" s="120"/>
      <c r="P1039" s="120"/>
      <c r="Q1039" s="120"/>
      <c r="R1039" s="120"/>
      <c r="S1039" s="120"/>
      <c r="T1039" s="120"/>
      <c r="U1039" s="120"/>
      <c r="V1039" s="120"/>
      <c r="W1039" s="120"/>
      <c r="X1039" s="120"/>
      <c r="Y1039" s="120"/>
      <c r="Z1039" s="120"/>
    </row>
    <row r="1040">
      <c r="A1040" s="120"/>
      <c r="B1040" s="120"/>
      <c r="C1040" s="120"/>
      <c r="D1040" s="120"/>
      <c r="E1040" s="120"/>
      <c r="F1040" s="120"/>
      <c r="G1040" s="120"/>
      <c r="H1040" s="120"/>
      <c r="I1040" s="120"/>
      <c r="J1040" s="120"/>
      <c r="K1040" s="120"/>
      <c r="L1040" s="120"/>
      <c r="M1040" s="120"/>
      <c r="N1040" s="120"/>
      <c r="O1040" s="120"/>
      <c r="P1040" s="120"/>
      <c r="Q1040" s="120"/>
      <c r="R1040" s="120"/>
      <c r="S1040" s="120"/>
      <c r="T1040" s="120"/>
      <c r="U1040" s="120"/>
      <c r="V1040" s="120"/>
      <c r="W1040" s="120"/>
      <c r="X1040" s="120"/>
      <c r="Y1040" s="120"/>
      <c r="Z1040" s="120"/>
    </row>
    <row r="1041">
      <c r="A1041" s="120"/>
      <c r="B1041" s="120"/>
      <c r="C1041" s="120"/>
      <c r="D1041" s="120"/>
      <c r="E1041" s="120"/>
      <c r="F1041" s="120"/>
      <c r="G1041" s="120"/>
      <c r="H1041" s="120"/>
      <c r="I1041" s="120"/>
      <c r="J1041" s="120"/>
      <c r="K1041" s="120"/>
      <c r="L1041" s="120"/>
      <c r="M1041" s="120"/>
      <c r="N1041" s="120"/>
      <c r="O1041" s="120"/>
      <c r="P1041" s="120"/>
      <c r="Q1041" s="120"/>
      <c r="R1041" s="120"/>
      <c r="S1041" s="120"/>
      <c r="T1041" s="120"/>
      <c r="U1041" s="120"/>
      <c r="V1041" s="120"/>
      <c r="W1041" s="120"/>
      <c r="X1041" s="120"/>
      <c r="Y1041" s="120"/>
      <c r="Z1041" s="120"/>
    </row>
    <row r="1042">
      <c r="A1042" s="120"/>
      <c r="B1042" s="120"/>
      <c r="C1042" s="120"/>
      <c r="D1042" s="120"/>
      <c r="E1042" s="120"/>
      <c r="F1042" s="120"/>
      <c r="G1042" s="120"/>
      <c r="H1042" s="120"/>
      <c r="I1042" s="120"/>
      <c r="J1042" s="120"/>
      <c r="K1042" s="120"/>
      <c r="L1042" s="120"/>
      <c r="M1042" s="120"/>
      <c r="N1042" s="120"/>
      <c r="O1042" s="120"/>
      <c r="P1042" s="120"/>
      <c r="Q1042" s="120"/>
      <c r="R1042" s="120"/>
      <c r="S1042" s="120"/>
      <c r="T1042" s="120"/>
      <c r="U1042" s="120"/>
      <c r="V1042" s="120"/>
      <c r="W1042" s="120"/>
      <c r="X1042" s="120"/>
      <c r="Y1042" s="120"/>
      <c r="Z1042" s="120"/>
    </row>
    <row r="1043">
      <c r="A1043" s="120"/>
      <c r="B1043" s="120"/>
      <c r="C1043" s="120"/>
      <c r="D1043" s="120"/>
      <c r="E1043" s="120"/>
      <c r="F1043" s="120"/>
      <c r="G1043" s="120"/>
      <c r="H1043" s="120"/>
      <c r="I1043" s="120"/>
      <c r="J1043" s="120"/>
      <c r="K1043" s="120"/>
      <c r="L1043" s="120"/>
      <c r="M1043" s="120"/>
      <c r="N1043" s="120"/>
      <c r="O1043" s="120"/>
      <c r="P1043" s="120"/>
      <c r="Q1043" s="120"/>
      <c r="R1043" s="120"/>
      <c r="S1043" s="120"/>
      <c r="T1043" s="120"/>
      <c r="U1043" s="120"/>
      <c r="V1043" s="120"/>
      <c r="W1043" s="120"/>
      <c r="X1043" s="120"/>
      <c r="Y1043" s="120"/>
      <c r="Z1043" s="120"/>
    </row>
    <row r="1044">
      <c r="A1044" s="120"/>
      <c r="B1044" s="120"/>
      <c r="C1044" s="120"/>
      <c r="D1044" s="120"/>
      <c r="E1044" s="120"/>
      <c r="F1044" s="120"/>
      <c r="G1044" s="120"/>
      <c r="H1044" s="120"/>
      <c r="I1044" s="120"/>
      <c r="J1044" s="120"/>
      <c r="K1044" s="120"/>
      <c r="L1044" s="120"/>
      <c r="M1044" s="120"/>
      <c r="N1044" s="120"/>
      <c r="O1044" s="120"/>
      <c r="P1044" s="120"/>
      <c r="Q1044" s="120"/>
      <c r="R1044" s="120"/>
      <c r="S1044" s="120"/>
      <c r="T1044" s="120"/>
      <c r="U1044" s="120"/>
      <c r="V1044" s="120"/>
      <c r="W1044" s="120"/>
      <c r="X1044" s="120"/>
      <c r="Y1044" s="120"/>
      <c r="Z1044" s="120"/>
    </row>
    <row r="1045">
      <c r="A1045" s="120"/>
      <c r="B1045" s="120"/>
      <c r="C1045" s="120"/>
      <c r="D1045" s="120"/>
      <c r="E1045" s="120"/>
      <c r="F1045" s="120"/>
      <c r="G1045" s="120"/>
      <c r="H1045" s="120"/>
      <c r="I1045" s="120"/>
      <c r="J1045" s="120"/>
      <c r="K1045" s="120"/>
      <c r="L1045" s="120"/>
      <c r="M1045" s="120"/>
      <c r="N1045" s="120"/>
      <c r="O1045" s="120"/>
      <c r="P1045" s="120"/>
      <c r="Q1045" s="120"/>
      <c r="R1045" s="120"/>
      <c r="S1045" s="120"/>
      <c r="T1045" s="120"/>
      <c r="U1045" s="120"/>
      <c r="V1045" s="120"/>
      <c r="W1045" s="120"/>
      <c r="X1045" s="120"/>
      <c r="Y1045" s="120"/>
      <c r="Z1045" s="120"/>
    </row>
    <row r="1046">
      <c r="A1046" s="120"/>
      <c r="B1046" s="120"/>
      <c r="C1046" s="120"/>
      <c r="D1046" s="120"/>
      <c r="E1046" s="120"/>
      <c r="F1046" s="120"/>
      <c r="G1046" s="120"/>
      <c r="H1046" s="120"/>
      <c r="I1046" s="120"/>
      <c r="J1046" s="120"/>
      <c r="K1046" s="120"/>
      <c r="L1046" s="120"/>
      <c r="M1046" s="120"/>
      <c r="N1046" s="120"/>
      <c r="O1046" s="120"/>
      <c r="P1046" s="120"/>
      <c r="Q1046" s="120"/>
      <c r="R1046" s="120"/>
      <c r="S1046" s="120"/>
      <c r="T1046" s="120"/>
      <c r="U1046" s="120"/>
      <c r="V1046" s="120"/>
      <c r="W1046" s="120"/>
      <c r="X1046" s="120"/>
      <c r="Y1046" s="120"/>
      <c r="Z1046" s="120"/>
    </row>
    <row r="1047">
      <c r="A1047" s="120"/>
      <c r="B1047" s="120"/>
      <c r="C1047" s="120"/>
      <c r="D1047" s="120"/>
      <c r="E1047" s="120"/>
      <c r="F1047" s="120"/>
      <c r="G1047" s="120"/>
      <c r="H1047" s="120"/>
      <c r="I1047" s="120"/>
      <c r="J1047" s="120"/>
      <c r="K1047" s="120"/>
      <c r="L1047" s="120"/>
      <c r="M1047" s="120"/>
      <c r="N1047" s="120"/>
      <c r="O1047" s="120"/>
      <c r="P1047" s="120"/>
      <c r="Q1047" s="120"/>
      <c r="R1047" s="120"/>
      <c r="S1047" s="120"/>
      <c r="T1047" s="120"/>
      <c r="U1047" s="120"/>
      <c r="V1047" s="120"/>
      <c r="W1047" s="120"/>
      <c r="X1047" s="120"/>
      <c r="Y1047" s="120"/>
      <c r="Z1047" s="120"/>
    </row>
    <row r="1048">
      <c r="A1048" s="120"/>
      <c r="B1048" s="120"/>
      <c r="C1048" s="120"/>
      <c r="D1048" s="120"/>
      <c r="E1048" s="120"/>
      <c r="F1048" s="120"/>
      <c r="G1048" s="120"/>
      <c r="H1048" s="120"/>
      <c r="I1048" s="120"/>
      <c r="J1048" s="120"/>
      <c r="K1048" s="120"/>
      <c r="L1048" s="120"/>
      <c r="M1048" s="120"/>
      <c r="N1048" s="120"/>
      <c r="O1048" s="120"/>
      <c r="P1048" s="120"/>
      <c r="Q1048" s="120"/>
      <c r="R1048" s="120"/>
      <c r="S1048" s="120"/>
      <c r="T1048" s="120"/>
      <c r="U1048" s="120"/>
      <c r="V1048" s="120"/>
      <c r="W1048" s="120"/>
      <c r="X1048" s="120"/>
      <c r="Y1048" s="120"/>
      <c r="Z1048" s="120"/>
    </row>
    <row r="1049">
      <c r="A1049" s="120"/>
      <c r="B1049" s="120"/>
      <c r="C1049" s="120"/>
      <c r="D1049" s="120"/>
      <c r="E1049" s="120"/>
      <c r="F1049" s="120"/>
      <c r="G1049" s="120"/>
      <c r="H1049" s="120"/>
      <c r="I1049" s="120"/>
      <c r="J1049" s="120"/>
      <c r="K1049" s="120"/>
      <c r="L1049" s="120"/>
      <c r="M1049" s="120"/>
      <c r="N1049" s="120"/>
      <c r="O1049" s="120"/>
      <c r="P1049" s="120"/>
      <c r="Q1049" s="120"/>
      <c r="R1049" s="120"/>
      <c r="S1049" s="120"/>
      <c r="T1049" s="120"/>
      <c r="U1049" s="120"/>
      <c r="V1049" s="120"/>
      <c r="W1049" s="120"/>
      <c r="X1049" s="120"/>
      <c r="Y1049" s="120"/>
      <c r="Z1049" s="120"/>
    </row>
    <row r="1050">
      <c r="A1050" s="120"/>
      <c r="B1050" s="120"/>
      <c r="C1050" s="120"/>
      <c r="D1050" s="120"/>
      <c r="E1050" s="120"/>
      <c r="F1050" s="120"/>
      <c r="G1050" s="120"/>
      <c r="H1050" s="120"/>
      <c r="I1050" s="120"/>
      <c r="J1050" s="120"/>
      <c r="K1050" s="120"/>
      <c r="L1050" s="120"/>
      <c r="M1050" s="120"/>
      <c r="N1050" s="120"/>
      <c r="O1050" s="120"/>
      <c r="P1050" s="120"/>
      <c r="Q1050" s="120"/>
      <c r="R1050" s="120"/>
      <c r="S1050" s="120"/>
      <c r="T1050" s="120"/>
      <c r="U1050" s="120"/>
      <c r="V1050" s="120"/>
      <c r="W1050" s="120"/>
      <c r="X1050" s="120"/>
      <c r="Y1050" s="120"/>
      <c r="Z1050" s="120"/>
    </row>
    <row r="1051">
      <c r="A1051" s="120"/>
      <c r="B1051" s="120"/>
      <c r="C1051" s="120"/>
      <c r="D1051" s="120"/>
      <c r="E1051" s="120"/>
      <c r="F1051" s="120"/>
      <c r="G1051" s="120"/>
      <c r="H1051" s="120"/>
      <c r="I1051" s="120"/>
      <c r="J1051" s="120"/>
      <c r="K1051" s="120"/>
      <c r="L1051" s="120"/>
      <c r="M1051" s="120"/>
      <c r="N1051" s="120"/>
      <c r="O1051" s="120"/>
      <c r="P1051" s="120"/>
      <c r="Q1051" s="120"/>
      <c r="R1051" s="120"/>
      <c r="S1051" s="120"/>
      <c r="T1051" s="120"/>
      <c r="U1051" s="120"/>
      <c r="V1051" s="120"/>
      <c r="W1051" s="120"/>
      <c r="X1051" s="120"/>
      <c r="Y1051" s="120"/>
      <c r="Z1051" s="120"/>
    </row>
    <row r="1052">
      <c r="A1052" s="120"/>
      <c r="B1052" s="120"/>
      <c r="C1052" s="120"/>
      <c r="D1052" s="120"/>
      <c r="E1052" s="120"/>
      <c r="F1052" s="120"/>
      <c r="G1052" s="120"/>
      <c r="H1052" s="120"/>
      <c r="I1052" s="120"/>
      <c r="J1052" s="120"/>
      <c r="K1052" s="120"/>
      <c r="L1052" s="120"/>
      <c r="M1052" s="120"/>
      <c r="N1052" s="120"/>
      <c r="O1052" s="120"/>
      <c r="P1052" s="120"/>
      <c r="Q1052" s="120"/>
      <c r="R1052" s="120"/>
      <c r="S1052" s="120"/>
      <c r="T1052" s="120"/>
      <c r="U1052" s="120"/>
      <c r="V1052" s="120"/>
      <c r="W1052" s="120"/>
      <c r="X1052" s="120"/>
      <c r="Y1052" s="120"/>
      <c r="Z1052" s="120"/>
    </row>
    <row r="1053">
      <c r="A1053" s="120"/>
      <c r="B1053" s="120"/>
      <c r="C1053" s="120"/>
      <c r="D1053" s="120"/>
      <c r="E1053" s="120"/>
      <c r="F1053" s="120"/>
      <c r="G1053" s="120"/>
      <c r="H1053" s="120"/>
      <c r="I1053" s="120"/>
      <c r="J1053" s="120"/>
      <c r="K1053" s="120"/>
      <c r="L1053" s="120"/>
      <c r="M1053" s="120"/>
      <c r="N1053" s="120"/>
      <c r="O1053" s="120"/>
      <c r="P1053" s="120"/>
      <c r="Q1053" s="120"/>
      <c r="R1053" s="120"/>
      <c r="S1053" s="120"/>
      <c r="T1053" s="120"/>
      <c r="U1053" s="120"/>
      <c r="V1053" s="120"/>
      <c r="W1053" s="120"/>
      <c r="X1053" s="120"/>
      <c r="Y1053" s="120"/>
      <c r="Z1053" s="120"/>
    </row>
    <row r="1054">
      <c r="A1054" s="120"/>
      <c r="B1054" s="120"/>
      <c r="C1054" s="120"/>
      <c r="D1054" s="120"/>
      <c r="E1054" s="120"/>
      <c r="F1054" s="120"/>
      <c r="G1054" s="120"/>
      <c r="H1054" s="120"/>
      <c r="I1054" s="120"/>
      <c r="J1054" s="120"/>
      <c r="K1054" s="120"/>
      <c r="L1054" s="120"/>
      <c r="M1054" s="120"/>
      <c r="N1054" s="120"/>
      <c r="O1054" s="120"/>
      <c r="P1054" s="120"/>
      <c r="Q1054" s="120"/>
      <c r="R1054" s="120"/>
      <c r="S1054" s="120"/>
      <c r="T1054" s="120"/>
      <c r="U1054" s="120"/>
      <c r="V1054" s="120"/>
      <c r="W1054" s="120"/>
      <c r="X1054" s="120"/>
      <c r="Y1054" s="120"/>
      <c r="Z1054" s="120"/>
    </row>
    <row r="1055">
      <c r="A1055" s="120"/>
      <c r="B1055" s="120"/>
      <c r="C1055" s="120"/>
      <c r="D1055" s="120"/>
      <c r="E1055" s="120"/>
      <c r="F1055" s="120"/>
      <c r="G1055" s="120"/>
      <c r="H1055" s="120"/>
      <c r="I1055" s="120"/>
      <c r="J1055" s="120"/>
      <c r="K1055" s="120"/>
      <c r="L1055" s="120"/>
      <c r="M1055" s="120"/>
      <c r="N1055" s="120"/>
      <c r="O1055" s="120"/>
      <c r="P1055" s="120"/>
      <c r="Q1055" s="120"/>
      <c r="R1055" s="120"/>
      <c r="S1055" s="120"/>
      <c r="T1055" s="120"/>
      <c r="U1055" s="120"/>
      <c r="V1055" s="120"/>
      <c r="W1055" s="120"/>
      <c r="X1055" s="120"/>
      <c r="Y1055" s="120"/>
      <c r="Z1055" s="120"/>
    </row>
    <row r="1056">
      <c r="A1056" s="120"/>
      <c r="B1056" s="120"/>
      <c r="C1056" s="120"/>
      <c r="D1056" s="120"/>
      <c r="E1056" s="120"/>
      <c r="F1056" s="120"/>
      <c r="G1056" s="120"/>
      <c r="H1056" s="120"/>
      <c r="I1056" s="120"/>
      <c r="J1056" s="120"/>
      <c r="K1056" s="120"/>
      <c r="L1056" s="120"/>
      <c r="M1056" s="120"/>
      <c r="N1056" s="120"/>
      <c r="O1056" s="120"/>
      <c r="P1056" s="120"/>
      <c r="Q1056" s="120"/>
      <c r="R1056" s="120"/>
      <c r="S1056" s="120"/>
      <c r="T1056" s="120"/>
      <c r="U1056" s="120"/>
      <c r="V1056" s="120"/>
      <c r="W1056" s="120"/>
      <c r="X1056" s="120"/>
      <c r="Y1056" s="120"/>
      <c r="Z1056" s="120"/>
    </row>
    <row r="1057">
      <c r="A1057" s="120"/>
      <c r="B1057" s="120"/>
      <c r="C1057" s="120"/>
      <c r="D1057" s="120"/>
      <c r="E1057" s="120"/>
      <c r="F1057" s="120"/>
      <c r="G1057" s="120"/>
      <c r="H1057" s="120"/>
      <c r="I1057" s="120"/>
      <c r="J1057" s="120"/>
      <c r="K1057" s="120"/>
      <c r="L1057" s="120"/>
      <c r="M1057" s="120"/>
      <c r="N1057" s="120"/>
      <c r="O1057" s="120"/>
      <c r="P1057" s="120"/>
      <c r="Q1057" s="120"/>
      <c r="R1057" s="120"/>
      <c r="S1057" s="120"/>
      <c r="T1057" s="120"/>
      <c r="U1057" s="120"/>
      <c r="V1057" s="120"/>
      <c r="W1057" s="120"/>
      <c r="X1057" s="120"/>
      <c r="Y1057" s="120"/>
      <c r="Z1057" s="120"/>
    </row>
    <row r="1058">
      <c r="A1058" s="120"/>
      <c r="B1058" s="120"/>
      <c r="C1058" s="120"/>
      <c r="D1058" s="120"/>
      <c r="E1058" s="120"/>
      <c r="F1058" s="120"/>
      <c r="G1058" s="120"/>
      <c r="H1058" s="120"/>
      <c r="I1058" s="120"/>
      <c r="J1058" s="120"/>
      <c r="K1058" s="120"/>
      <c r="L1058" s="120"/>
      <c r="M1058" s="120"/>
      <c r="N1058" s="120"/>
      <c r="O1058" s="120"/>
      <c r="P1058" s="120"/>
      <c r="Q1058" s="120"/>
      <c r="R1058" s="120"/>
      <c r="S1058" s="120"/>
      <c r="T1058" s="120"/>
      <c r="U1058" s="120"/>
      <c r="V1058" s="120"/>
      <c r="W1058" s="120"/>
      <c r="X1058" s="120"/>
      <c r="Y1058" s="120"/>
      <c r="Z1058" s="120"/>
    </row>
    <row r="1059">
      <c r="A1059" s="120"/>
      <c r="B1059" s="120"/>
      <c r="C1059" s="120"/>
      <c r="D1059" s="120"/>
      <c r="E1059" s="120"/>
      <c r="F1059" s="120"/>
      <c r="G1059" s="120"/>
      <c r="H1059" s="120"/>
      <c r="I1059" s="120"/>
      <c r="J1059" s="120"/>
      <c r="K1059" s="120"/>
      <c r="L1059" s="120"/>
      <c r="M1059" s="120"/>
      <c r="N1059" s="120"/>
      <c r="O1059" s="120"/>
      <c r="P1059" s="120"/>
      <c r="Q1059" s="120"/>
      <c r="R1059" s="120"/>
      <c r="S1059" s="120"/>
      <c r="T1059" s="120"/>
      <c r="U1059" s="120"/>
      <c r="V1059" s="120"/>
      <c r="W1059" s="120"/>
      <c r="X1059" s="120"/>
      <c r="Y1059" s="120"/>
      <c r="Z1059" s="120"/>
    </row>
    <row r="1060">
      <c r="A1060" s="120"/>
      <c r="B1060" s="120"/>
      <c r="C1060" s="120"/>
      <c r="D1060" s="120"/>
      <c r="E1060" s="120"/>
      <c r="F1060" s="120"/>
      <c r="G1060" s="120"/>
      <c r="H1060" s="120"/>
      <c r="I1060" s="120"/>
      <c r="J1060" s="120"/>
      <c r="K1060" s="120"/>
      <c r="L1060" s="120"/>
      <c r="M1060" s="120"/>
      <c r="N1060" s="120"/>
      <c r="O1060" s="120"/>
      <c r="P1060" s="120"/>
      <c r="Q1060" s="120"/>
      <c r="R1060" s="120"/>
      <c r="S1060" s="120"/>
      <c r="T1060" s="120"/>
      <c r="U1060" s="120"/>
      <c r="V1060" s="120"/>
      <c r="W1060" s="120"/>
      <c r="X1060" s="120"/>
      <c r="Y1060" s="120"/>
      <c r="Z1060" s="120"/>
    </row>
    <row r="1061">
      <c r="A1061" s="120"/>
      <c r="B1061" s="120"/>
      <c r="C1061" s="120"/>
      <c r="D1061" s="120"/>
      <c r="E1061" s="120"/>
      <c r="F1061" s="120"/>
      <c r="G1061" s="120"/>
      <c r="H1061" s="120"/>
      <c r="I1061" s="120"/>
      <c r="J1061" s="120"/>
      <c r="K1061" s="120"/>
      <c r="L1061" s="120"/>
      <c r="M1061" s="120"/>
      <c r="N1061" s="120"/>
      <c r="O1061" s="120"/>
      <c r="P1061" s="120"/>
      <c r="Q1061" s="120"/>
      <c r="R1061" s="120"/>
      <c r="S1061" s="120"/>
      <c r="T1061" s="120"/>
      <c r="U1061" s="120"/>
      <c r="V1061" s="120"/>
      <c r="W1061" s="120"/>
      <c r="X1061" s="120"/>
      <c r="Y1061" s="120"/>
      <c r="Z1061" s="120"/>
    </row>
    <row r="1062">
      <c r="A1062" s="120"/>
      <c r="B1062" s="120"/>
      <c r="C1062" s="120"/>
      <c r="D1062" s="120"/>
      <c r="E1062" s="120"/>
      <c r="F1062" s="120"/>
      <c r="G1062" s="120"/>
      <c r="H1062" s="120"/>
      <c r="I1062" s="120"/>
      <c r="J1062" s="120"/>
      <c r="K1062" s="120"/>
      <c r="L1062" s="120"/>
      <c r="M1062" s="120"/>
      <c r="N1062" s="120"/>
      <c r="O1062" s="120"/>
      <c r="P1062" s="120"/>
      <c r="Q1062" s="120"/>
      <c r="R1062" s="120"/>
      <c r="S1062" s="120"/>
      <c r="T1062" s="120"/>
      <c r="U1062" s="120"/>
      <c r="V1062" s="120"/>
      <c r="W1062" s="120"/>
      <c r="X1062" s="120"/>
      <c r="Y1062" s="120"/>
      <c r="Z1062" s="120"/>
    </row>
    <row r="1063">
      <c r="A1063" s="120"/>
      <c r="B1063" s="120"/>
      <c r="C1063" s="120"/>
      <c r="D1063" s="120"/>
      <c r="E1063" s="120"/>
      <c r="F1063" s="120"/>
      <c r="G1063" s="120"/>
      <c r="H1063" s="120"/>
      <c r="I1063" s="120"/>
      <c r="J1063" s="120"/>
      <c r="K1063" s="120"/>
      <c r="L1063" s="120"/>
      <c r="M1063" s="120"/>
      <c r="N1063" s="120"/>
      <c r="O1063" s="120"/>
      <c r="P1063" s="120"/>
      <c r="Q1063" s="120"/>
      <c r="R1063" s="120"/>
      <c r="S1063" s="120"/>
      <c r="T1063" s="120"/>
      <c r="U1063" s="120"/>
      <c r="V1063" s="120"/>
      <c r="W1063" s="120"/>
      <c r="X1063" s="120"/>
      <c r="Y1063" s="120"/>
      <c r="Z1063" s="120"/>
    </row>
    <row r="1064">
      <c r="A1064" s="120"/>
      <c r="B1064" s="120"/>
      <c r="C1064" s="120"/>
      <c r="D1064" s="120"/>
      <c r="E1064" s="120"/>
      <c r="F1064" s="120"/>
      <c r="G1064" s="120"/>
      <c r="H1064" s="120"/>
      <c r="I1064" s="120"/>
      <c r="J1064" s="120"/>
      <c r="K1064" s="120"/>
      <c r="L1064" s="120"/>
      <c r="M1064" s="120"/>
      <c r="N1064" s="120"/>
      <c r="O1064" s="120"/>
      <c r="P1064" s="120"/>
      <c r="Q1064" s="120"/>
      <c r="R1064" s="120"/>
      <c r="S1064" s="120"/>
      <c r="T1064" s="120"/>
      <c r="U1064" s="120"/>
      <c r="V1064" s="120"/>
      <c r="W1064" s="120"/>
      <c r="X1064" s="120"/>
      <c r="Y1064" s="120"/>
      <c r="Z1064" s="120"/>
    </row>
    <row r="1065">
      <c r="A1065" s="120"/>
      <c r="B1065" s="120"/>
      <c r="C1065" s="120"/>
      <c r="D1065" s="120"/>
      <c r="E1065" s="120"/>
      <c r="F1065" s="120"/>
      <c r="G1065" s="120"/>
      <c r="H1065" s="120"/>
      <c r="I1065" s="120"/>
      <c r="J1065" s="120"/>
      <c r="K1065" s="120"/>
      <c r="L1065" s="120"/>
      <c r="M1065" s="120"/>
      <c r="N1065" s="120"/>
      <c r="O1065" s="120"/>
      <c r="P1065" s="120"/>
      <c r="Q1065" s="120"/>
      <c r="R1065" s="120"/>
      <c r="S1065" s="120"/>
      <c r="T1065" s="120"/>
      <c r="U1065" s="120"/>
      <c r="V1065" s="120"/>
      <c r="W1065" s="120"/>
      <c r="X1065" s="120"/>
      <c r="Y1065" s="120"/>
      <c r="Z1065" s="120"/>
    </row>
    <row r="1066">
      <c r="A1066" s="120"/>
      <c r="B1066" s="120"/>
      <c r="C1066" s="120"/>
      <c r="D1066" s="120"/>
      <c r="E1066" s="120"/>
      <c r="F1066" s="120"/>
      <c r="G1066" s="120"/>
      <c r="H1066" s="120"/>
      <c r="I1066" s="120"/>
      <c r="J1066" s="120"/>
      <c r="K1066" s="120"/>
      <c r="L1066" s="120"/>
      <c r="M1066" s="120"/>
      <c r="N1066" s="120"/>
      <c r="O1066" s="120"/>
      <c r="P1066" s="120"/>
      <c r="Q1066" s="120"/>
      <c r="R1066" s="120"/>
      <c r="S1066" s="120"/>
      <c r="T1066" s="120"/>
      <c r="U1066" s="120"/>
      <c r="V1066" s="120"/>
      <c r="W1066" s="120"/>
      <c r="X1066" s="120"/>
      <c r="Y1066" s="120"/>
      <c r="Z1066" s="120"/>
    </row>
    <row r="1067">
      <c r="A1067" s="120"/>
      <c r="B1067" s="120"/>
      <c r="C1067" s="120"/>
      <c r="D1067" s="120"/>
      <c r="E1067" s="120"/>
      <c r="F1067" s="120"/>
      <c r="G1067" s="120"/>
      <c r="H1067" s="120"/>
      <c r="I1067" s="120"/>
      <c r="J1067" s="120"/>
      <c r="K1067" s="120"/>
      <c r="L1067" s="120"/>
      <c r="M1067" s="120"/>
      <c r="N1067" s="120"/>
      <c r="O1067" s="120"/>
      <c r="P1067" s="120"/>
      <c r="Q1067" s="120"/>
      <c r="R1067" s="120"/>
      <c r="S1067" s="120"/>
      <c r="T1067" s="120"/>
      <c r="U1067" s="120"/>
      <c r="V1067" s="120"/>
      <c r="W1067" s="120"/>
      <c r="X1067" s="120"/>
      <c r="Y1067" s="120"/>
      <c r="Z1067" s="120"/>
    </row>
    <row r="1068">
      <c r="A1068" s="120"/>
      <c r="B1068" s="120"/>
      <c r="C1068" s="120"/>
      <c r="D1068" s="120"/>
      <c r="E1068" s="120"/>
      <c r="F1068" s="120"/>
      <c r="G1068" s="120"/>
      <c r="H1068" s="120"/>
      <c r="I1068" s="120"/>
      <c r="J1068" s="120"/>
      <c r="K1068" s="120"/>
      <c r="L1068" s="120"/>
      <c r="M1068" s="120"/>
      <c r="N1068" s="120"/>
      <c r="O1068" s="120"/>
      <c r="P1068" s="120"/>
      <c r="Q1068" s="120"/>
      <c r="R1068" s="120"/>
      <c r="S1068" s="120"/>
      <c r="T1068" s="120"/>
      <c r="U1068" s="120"/>
      <c r="V1068" s="120"/>
      <c r="W1068" s="120"/>
      <c r="X1068" s="120"/>
      <c r="Y1068" s="120"/>
      <c r="Z1068" s="120"/>
    </row>
    <row r="1069">
      <c r="A1069" s="120"/>
      <c r="B1069" s="120"/>
      <c r="C1069" s="120"/>
      <c r="D1069" s="120"/>
      <c r="E1069" s="120"/>
      <c r="F1069" s="120"/>
      <c r="G1069" s="120"/>
      <c r="H1069" s="120"/>
      <c r="I1069" s="120"/>
      <c r="J1069" s="120"/>
      <c r="K1069" s="120"/>
      <c r="L1069" s="120"/>
      <c r="M1069" s="120"/>
      <c r="N1069" s="120"/>
      <c r="O1069" s="120"/>
      <c r="P1069" s="120"/>
      <c r="Q1069" s="120"/>
      <c r="R1069" s="120"/>
      <c r="S1069" s="120"/>
      <c r="T1069" s="120"/>
      <c r="U1069" s="120"/>
      <c r="V1069" s="120"/>
      <c r="W1069" s="120"/>
      <c r="X1069" s="120"/>
      <c r="Y1069" s="120"/>
      <c r="Z1069" s="120"/>
    </row>
    <row r="1070">
      <c r="A1070" s="120"/>
      <c r="B1070" s="120"/>
      <c r="C1070" s="120"/>
      <c r="D1070" s="120"/>
      <c r="E1070" s="120"/>
      <c r="F1070" s="120"/>
      <c r="G1070" s="120"/>
      <c r="H1070" s="120"/>
      <c r="I1070" s="120"/>
      <c r="J1070" s="120"/>
      <c r="K1070" s="120"/>
      <c r="L1070" s="120"/>
      <c r="M1070" s="120"/>
      <c r="N1070" s="120"/>
      <c r="O1070" s="120"/>
      <c r="P1070" s="120"/>
      <c r="Q1070" s="120"/>
      <c r="R1070" s="120"/>
      <c r="S1070" s="120"/>
      <c r="T1070" s="120"/>
      <c r="U1070" s="120"/>
      <c r="V1070" s="120"/>
      <c r="W1070" s="120"/>
      <c r="X1070" s="120"/>
      <c r="Y1070" s="120"/>
      <c r="Z1070" s="120"/>
    </row>
    <row r="1071">
      <c r="A1071" s="120"/>
      <c r="B1071" s="120"/>
      <c r="C1071" s="120"/>
      <c r="D1071" s="120"/>
      <c r="E1071" s="120"/>
      <c r="F1071" s="120"/>
      <c r="G1071" s="120"/>
      <c r="H1071" s="120"/>
      <c r="I1071" s="120"/>
      <c r="J1071" s="120"/>
      <c r="K1071" s="120"/>
      <c r="L1071" s="120"/>
      <c r="M1071" s="120"/>
      <c r="N1071" s="120"/>
      <c r="O1071" s="120"/>
      <c r="P1071" s="120"/>
      <c r="Q1071" s="120"/>
      <c r="R1071" s="120"/>
      <c r="S1071" s="120"/>
      <c r="T1071" s="120"/>
      <c r="U1071" s="120"/>
      <c r="V1071" s="120"/>
      <c r="W1071" s="120"/>
      <c r="X1071" s="120"/>
      <c r="Y1071" s="120"/>
      <c r="Z1071" s="120"/>
    </row>
    <row r="1072">
      <c r="A1072" s="120"/>
      <c r="B1072" s="120"/>
      <c r="C1072" s="120"/>
      <c r="D1072" s="120"/>
      <c r="E1072" s="120"/>
      <c r="F1072" s="120"/>
      <c r="G1072" s="120"/>
      <c r="H1072" s="120"/>
      <c r="I1072" s="120"/>
      <c r="J1072" s="120"/>
      <c r="K1072" s="120"/>
      <c r="L1072" s="120"/>
      <c r="M1072" s="120"/>
      <c r="N1072" s="120"/>
      <c r="O1072" s="120"/>
      <c r="P1072" s="120"/>
      <c r="Q1072" s="120"/>
      <c r="R1072" s="120"/>
      <c r="S1072" s="120"/>
      <c r="T1072" s="120"/>
      <c r="U1072" s="120"/>
      <c r="V1072" s="120"/>
      <c r="W1072" s="120"/>
      <c r="X1072" s="120"/>
      <c r="Y1072" s="120"/>
      <c r="Z1072" s="120"/>
    </row>
    <row r="1073">
      <c r="A1073" s="120"/>
      <c r="B1073" s="120"/>
      <c r="C1073" s="120"/>
      <c r="D1073" s="120"/>
      <c r="E1073" s="120"/>
      <c r="F1073" s="120"/>
      <c r="G1073" s="120"/>
      <c r="H1073" s="120"/>
      <c r="I1073" s="120"/>
      <c r="J1073" s="120"/>
      <c r="K1073" s="120"/>
      <c r="L1073" s="120"/>
      <c r="M1073" s="120"/>
      <c r="N1073" s="120"/>
      <c r="O1073" s="120"/>
      <c r="P1073" s="120"/>
      <c r="Q1073" s="120"/>
      <c r="R1073" s="120"/>
      <c r="S1073" s="120"/>
      <c r="T1073" s="120"/>
      <c r="U1073" s="120"/>
      <c r="V1073" s="120"/>
      <c r="W1073" s="120"/>
      <c r="X1073" s="120"/>
      <c r="Y1073" s="120"/>
      <c r="Z1073" s="120"/>
    </row>
    <row r="1074">
      <c r="A1074" s="120"/>
      <c r="B1074" s="120"/>
      <c r="C1074" s="120"/>
      <c r="D1074" s="120"/>
      <c r="E1074" s="120"/>
      <c r="F1074" s="120"/>
      <c r="G1074" s="120"/>
      <c r="H1074" s="120"/>
      <c r="I1074" s="120"/>
      <c r="J1074" s="120"/>
      <c r="K1074" s="120"/>
      <c r="L1074" s="120"/>
      <c r="M1074" s="120"/>
      <c r="N1074" s="120"/>
      <c r="O1074" s="120"/>
      <c r="P1074" s="120"/>
      <c r="Q1074" s="120"/>
      <c r="R1074" s="120"/>
      <c r="S1074" s="120"/>
      <c r="T1074" s="120"/>
      <c r="U1074" s="120"/>
      <c r="V1074" s="120"/>
      <c r="W1074" s="120"/>
      <c r="X1074" s="120"/>
      <c r="Y1074" s="120"/>
      <c r="Z1074" s="120"/>
    </row>
    <row r="1075">
      <c r="A1075" s="120"/>
      <c r="B1075" s="120"/>
      <c r="C1075" s="120"/>
      <c r="D1075" s="120"/>
      <c r="E1075" s="120"/>
      <c r="F1075" s="120"/>
      <c r="G1075" s="120"/>
      <c r="H1075" s="120"/>
      <c r="I1075" s="120"/>
      <c r="J1075" s="120"/>
      <c r="K1075" s="120"/>
      <c r="L1075" s="120"/>
      <c r="M1075" s="120"/>
      <c r="N1075" s="120"/>
      <c r="O1075" s="120"/>
      <c r="P1075" s="120"/>
      <c r="Q1075" s="120"/>
      <c r="R1075" s="120"/>
      <c r="S1075" s="120"/>
      <c r="T1075" s="120"/>
      <c r="U1075" s="120"/>
      <c r="V1075" s="120"/>
      <c r="W1075" s="120"/>
      <c r="X1075" s="120"/>
      <c r="Y1075" s="120"/>
      <c r="Z1075" s="120"/>
    </row>
  </sheetData>
  <drawing r:id="rId1"/>
</worksheet>
</file>